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Darey Document\Darey file &amp; Data science folder 2\"/>
    </mc:Choice>
  </mc:AlternateContent>
  <xr:revisionPtr revIDLastSave="0" documentId="13_ncr:1_{7E7EEBAC-09C6-4146-BD92-C13EE80C6A97}" xr6:coauthVersionLast="47" xr6:coauthVersionMax="47" xr10:uidLastSave="{00000000-0000-0000-0000-000000000000}"/>
  <bookViews>
    <workbookView xWindow="-120" yWindow="-120" windowWidth="20730" windowHeight="11160" firstSheet="3" activeTab="3" xr2:uid="{00000000-000D-0000-FFFF-FFFF00000000}"/>
  </bookViews>
  <sheets>
    <sheet name="Instruction" sheetId="1" r:id="rId1"/>
    <sheet name="Lookup" sheetId="2" r:id="rId2"/>
    <sheet name="Lookup Assignment" sheetId="3" r:id="rId3"/>
    <sheet name="Pivot Table" sheetId="4" r:id="rId4"/>
    <sheet name="Pivot Assignment" sheetId="5" r:id="rId5"/>
    <sheet name="Sheet1" sheetId="11" r:id="rId6"/>
    <sheet name="Qn1" sheetId="6" state="hidden" r:id="rId7"/>
    <sheet name="Qn2" sheetId="7" state="hidden" r:id="rId8"/>
    <sheet name="Qn3" sheetId="8" state="hidden" r:id="rId9"/>
    <sheet name="Sheet4" sheetId="9" state="hidden" r:id="rId10"/>
    <sheet name="Sheet5" sheetId="10" state="hidden" r:id="rId11"/>
  </sheets>
  <calcPr calcId="191029"/>
  <pivotCaches>
    <pivotCache cacheId="9"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2" l="1"/>
  <c r="B32" i="2"/>
  <c r="B30" i="2"/>
  <c r="B28" i="2"/>
</calcChain>
</file>

<file path=xl/sharedStrings.xml><?xml version="1.0" encoding="utf-8"?>
<sst xmlns="http://schemas.openxmlformats.org/spreadsheetml/2006/main" count="297" uniqueCount="74">
  <si>
    <t>Mini Project: Lookup Functions and Data Analysis Task</t>
  </si>
  <si>
    <t>Objective:</t>
  </si>
  <si>
    <t>Your task is to utilize lookup functions to extract, match, and analyze data across multiple sheets in the given dataset. This exercise will help you strengthen your proficiency in Excel lookup functions and also the fomula are to be shown.</t>
  </si>
  <si>
    <t>Instructions:</t>
  </si>
  <si>
    <r>
      <rPr>
        <b/>
        <sz val="11"/>
        <color theme="1"/>
        <rFont val="Calibri"/>
      </rPr>
      <t>1. Understand the Dataset</t>
    </r>
    <r>
      <rPr>
        <sz val="11"/>
        <color theme="1"/>
        <rFont val="Calibri"/>
      </rPr>
      <t xml:space="preserve"> – The dataset consists of </t>
    </r>
    <r>
      <rPr>
        <b/>
        <sz val="11"/>
        <color theme="1"/>
        <rFont val="Calibri"/>
      </rPr>
      <t>four different sheets</t>
    </r>
    <r>
      <rPr>
        <sz val="11"/>
        <color theme="1"/>
        <rFont val="Calibri"/>
      </rPr>
      <t xml:space="preserve"> containing structured data. Carefully review the information in each sheet.</t>
    </r>
  </si>
  <si>
    <r>
      <rPr>
        <b/>
        <sz val="11"/>
        <color theme="1"/>
        <rFont val="Calibri"/>
      </rPr>
      <t>2. Apply Lookup Functions</t>
    </r>
    <r>
      <rPr>
        <sz val="11"/>
        <color theme="1"/>
        <rFont val="Calibri"/>
      </rPr>
      <t xml:space="preserve"> – Use </t>
    </r>
    <r>
      <rPr>
        <b/>
        <sz val="11"/>
        <color theme="1"/>
        <rFont val="Calibri"/>
      </rPr>
      <t>VLOOKUP or XLOOKUP</t>
    </r>
    <r>
      <rPr>
        <sz val="11"/>
        <color theme="1"/>
        <rFont val="Calibri"/>
      </rPr>
      <t xml:space="preserve"> where applicable to retrieve relevant data based on the assignment questions and also the pivot assessment sheet.</t>
    </r>
  </si>
  <si>
    <r>
      <rPr>
        <b/>
        <sz val="11"/>
        <color theme="1"/>
        <rFont val="Calibri"/>
      </rPr>
      <t>3. Answer the Assignment Questions</t>
    </r>
    <r>
      <rPr>
        <sz val="11"/>
        <color theme="1"/>
        <rFont val="Calibri"/>
      </rPr>
      <t xml:space="preserve"> – Follow the provided </t>
    </r>
    <r>
      <rPr>
        <b/>
        <sz val="11"/>
        <color theme="1"/>
        <rFont val="Calibri"/>
      </rPr>
      <t>assignment sheet</t>
    </r>
    <r>
      <rPr>
        <sz val="11"/>
        <color theme="1"/>
        <rFont val="Calibri"/>
      </rPr>
      <t xml:space="preserve"> and complete the required tasks by applying lookup techniques effectively.</t>
    </r>
  </si>
  <si>
    <t>Expected Deliverables:</t>
  </si>
  <si>
    <r>
      <rPr>
        <sz val="11"/>
        <color theme="1"/>
        <rFont val="Calibri"/>
      </rPr>
      <t xml:space="preserve">A </t>
    </r>
    <r>
      <rPr>
        <b/>
        <sz val="11"/>
        <color theme="1"/>
        <rFont val="Calibri"/>
      </rPr>
      <t>completed Excel file</t>
    </r>
    <r>
      <rPr>
        <sz val="11"/>
        <color theme="1"/>
        <rFont val="Calibri"/>
      </rPr>
      <t xml:space="preserve"> with correctly implemented lookup functions and calculated results.</t>
    </r>
  </si>
  <si>
    <r>
      <rPr>
        <sz val="11"/>
        <color theme="1"/>
        <rFont val="Calibri"/>
      </rPr>
      <t xml:space="preserve">A </t>
    </r>
    <r>
      <rPr>
        <b/>
        <sz val="11"/>
        <color theme="1"/>
        <rFont val="Calibri"/>
      </rPr>
      <t>brief summary</t>
    </r>
    <r>
      <rPr>
        <sz val="11"/>
        <color theme="1"/>
        <rFont val="Calibri"/>
      </rPr>
      <t xml:space="preserve"> explaining the steps taken and key insights from your analysis.</t>
    </r>
  </si>
  <si>
    <t>Ensure accuracy in your formulas and maintain a well-structured dataset. Good luck with your analysis! 🚀</t>
  </si>
  <si>
    <t>Customer Name</t>
  </si>
  <si>
    <t>Order Priority</t>
  </si>
  <si>
    <t>Order Quantity</t>
  </si>
  <si>
    <t>Sales</t>
  </si>
  <si>
    <t>Discount</t>
  </si>
  <si>
    <t>Ship Mode</t>
  </si>
  <si>
    <t>Profit</t>
  </si>
  <si>
    <t>Region</t>
  </si>
  <si>
    <t>Customer Segment</t>
  </si>
  <si>
    <t>Date</t>
  </si>
  <si>
    <t>Ruben Dartt</t>
  </si>
  <si>
    <t>Not Specified</t>
  </si>
  <si>
    <t>Regular Air</t>
  </si>
  <si>
    <t>West</t>
  </si>
  <si>
    <t>Corporate</t>
  </si>
  <si>
    <t>Roy Collins</t>
  </si>
  <si>
    <t>High</t>
  </si>
  <si>
    <t>Express Air</t>
  </si>
  <si>
    <t>Prarie</t>
  </si>
  <si>
    <t>Pauline Chand</t>
  </si>
  <si>
    <t>Low</t>
  </si>
  <si>
    <t>Ontario</t>
  </si>
  <si>
    <t>Muhammed MacIntyre</t>
  </si>
  <si>
    <t>Nunavut</t>
  </si>
  <si>
    <t>Small Business</t>
  </si>
  <si>
    <t>Julie Creighton</t>
  </si>
  <si>
    <t>Liz Pelletier</t>
  </si>
  <si>
    <t>Delivery Truck</t>
  </si>
  <si>
    <t>Craig Yedwab</t>
  </si>
  <si>
    <t>Medium</t>
  </si>
  <si>
    <t>Yukon</t>
  </si>
  <si>
    <t>Consumer</t>
  </si>
  <si>
    <t>Jonathan Doherty</t>
  </si>
  <si>
    <t>Tamara Dahlen</t>
  </si>
  <si>
    <t>Critical</t>
  </si>
  <si>
    <t>Keith Dawkins</t>
  </si>
  <si>
    <t>Home Office</t>
  </si>
  <si>
    <t>Arthur Gainer</t>
  </si>
  <si>
    <t>Sample Company A</t>
  </si>
  <si>
    <t>Helen Wasserman</t>
  </si>
  <si>
    <t>Quebec</t>
  </si>
  <si>
    <t>Questions</t>
  </si>
  <si>
    <t>1. What Customer Segment does Muhammed MacIntyre fall under? (Vlookup)</t>
  </si>
  <si>
    <t>2. What was the sales amount on 5/7/2009? (Vlookup)</t>
  </si>
  <si>
    <t>3. Who was the customer with sales figure 4158.1235? (xlookup)</t>
  </si>
  <si>
    <t>4. Which customer comes from the region Yukon?</t>
  </si>
  <si>
    <t>1. Total order quantity for Liz pelletier</t>
  </si>
  <si>
    <t>2. Which order priority category produced the highest sales?</t>
  </si>
  <si>
    <t>3. Show only sales that were made in 2009</t>
  </si>
  <si>
    <t>4. Which region brought in the least profit for the year 2012?</t>
  </si>
  <si>
    <t>5. which customer segment accounted for our highest sales figure?</t>
  </si>
  <si>
    <t>Sum of Order Quantity</t>
  </si>
  <si>
    <t>Row Labels</t>
  </si>
  <si>
    <t>Sum of Sales</t>
  </si>
  <si>
    <t>Grand Total</t>
  </si>
  <si>
    <t>2009</t>
  </si>
  <si>
    <t>Sum of Profit</t>
  </si>
  <si>
    <t>Column Labels</t>
  </si>
  <si>
    <t>2012</t>
  </si>
  <si>
    <t>Sales amount on 5/7</t>
  </si>
  <si>
    <t>Customer with sales figure</t>
  </si>
  <si>
    <t>MOSHOOD TAIWO</t>
  </si>
  <si>
    <t>The customer who comes from  Yukon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</si>
</sst>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_([$$-409]* #,##0_);_([$$-409]* \(#,##0\);_([$$-409]* &quot;-&quot;??_);_(@_)"/>
  </numFmts>
  <fonts count="8" x14ac:knownFonts="1">
    <font>
      <sz val="11"/>
      <color theme="1"/>
      <name val="Calibri"/>
      <scheme val="minor"/>
    </font>
    <font>
      <b/>
      <sz val="13"/>
      <color theme="1"/>
      <name val="Calibri"/>
    </font>
    <font>
      <sz val="11"/>
      <color theme="1"/>
      <name val="Calibri"/>
    </font>
    <font>
      <b/>
      <sz val="11"/>
      <color theme="1"/>
      <name val="Calibri"/>
    </font>
    <font>
      <sz val="11"/>
      <color theme="0"/>
      <name val="Calibri"/>
    </font>
    <font>
      <sz val="11"/>
      <color theme="1"/>
      <name val="Calibri"/>
    </font>
    <font>
      <b/>
      <sz val="11"/>
      <color theme="0"/>
      <name val="Calibri"/>
    </font>
    <font>
      <sz val="11"/>
      <color theme="0"/>
      <name val="Calibri"/>
    </font>
  </fonts>
  <fills count="6">
    <fill>
      <patternFill patternType="none"/>
    </fill>
    <fill>
      <patternFill patternType="gray125"/>
    </fill>
    <fill>
      <patternFill patternType="solid">
        <fgColor rgb="FFFBE4D5"/>
        <bgColor rgb="FFFBE4D5"/>
      </patternFill>
    </fill>
    <fill>
      <patternFill patternType="solid">
        <fgColor rgb="FFFFFF00"/>
        <bgColor rgb="FFFFFF00"/>
      </patternFill>
    </fill>
    <fill>
      <patternFill patternType="solid">
        <fgColor theme="1"/>
        <bgColor theme="1"/>
      </patternFill>
    </fill>
    <fill>
      <patternFill patternType="solid">
        <fgColor rgb="FFFFFF00"/>
        <bgColor indexed="64"/>
      </patternFill>
    </fill>
  </fills>
  <borders count="7">
    <border>
      <left/>
      <right/>
      <top/>
      <bottom/>
      <diagonal/>
    </border>
    <border>
      <left/>
      <right/>
      <top/>
      <bottom/>
      <diagonal/>
    </border>
    <border>
      <left/>
      <right style="thin">
        <color theme="1"/>
      </right>
      <top style="thin">
        <color theme="1"/>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xf>
    <xf numFmtId="0" fontId="2" fillId="2" borderId="1" xfId="0" applyFont="1" applyFill="1" applyBorder="1"/>
    <xf numFmtId="0" fontId="3" fillId="2" borderId="1" xfId="0" applyFont="1" applyFill="1" applyBorder="1"/>
    <xf numFmtId="0" fontId="2" fillId="2" borderId="1" xfId="0" applyFont="1" applyFill="1" applyBorder="1" applyAlignment="1">
      <alignment wrapText="1"/>
    </xf>
    <xf numFmtId="0" fontId="1"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4" fillId="0" borderId="0" xfId="0" applyFont="1" applyAlignment="1">
      <alignment horizontal="left" vertical="center"/>
    </xf>
    <xf numFmtId="0" fontId="5" fillId="0" borderId="0" xfId="0" applyFont="1" applyAlignment="1">
      <alignment vertical="center"/>
    </xf>
    <xf numFmtId="14" fontId="2" fillId="0" borderId="0" xfId="0" applyNumberFormat="1" applyFont="1" applyAlignment="1">
      <alignment vertical="center"/>
    </xf>
    <xf numFmtId="0" fontId="5" fillId="0" borderId="0" xfId="0" applyFont="1"/>
    <xf numFmtId="0" fontId="2" fillId="3" borderId="1" xfId="0" applyFont="1" applyFill="1" applyBorder="1"/>
    <xf numFmtId="0" fontId="6" fillId="4" borderId="1" xfId="0" applyFont="1" applyFill="1" applyBorder="1"/>
    <xf numFmtId="0" fontId="7" fillId="4" borderId="1" xfId="0" applyFont="1" applyFill="1" applyBorder="1"/>
    <xf numFmtId="0" fontId="2" fillId="0" borderId="0" xfId="0" applyFont="1"/>
    <xf numFmtId="0" fontId="2" fillId="0" borderId="0" xfId="0" applyFont="1" applyAlignment="1">
      <alignment horizontal="left"/>
    </xf>
    <xf numFmtId="0" fontId="4" fillId="4" borderId="2" xfId="0" applyFont="1" applyFill="1" applyBorder="1" applyAlignment="1">
      <alignment horizontal="left" vertical="center"/>
    </xf>
    <xf numFmtId="0" fontId="0" fillId="5" borderId="0" xfId="0" applyFill="1"/>
    <xf numFmtId="0" fontId="0" fillId="0" borderId="5" xfId="0" applyNumberFormat="1" applyBorder="1"/>
    <xf numFmtId="0" fontId="0" fillId="0" borderId="3" xfId="0" pivotButton="1" applyBorder="1"/>
    <xf numFmtId="0" fontId="0" fillId="0" borderId="6" xfId="0" applyBorder="1" applyAlignment="1">
      <alignment horizontal="left"/>
    </xf>
    <xf numFmtId="0" fontId="0" fillId="5" borderId="4" xfId="0" applyFill="1" applyBorder="1"/>
    <xf numFmtId="168" fontId="0" fillId="5" borderId="4" xfId="0" applyNumberFormat="1" applyFill="1" applyBorder="1"/>
    <xf numFmtId="168" fontId="0" fillId="0" borderId="5" xfId="0" applyNumberFormat="1" applyBorder="1"/>
    <xf numFmtId="0" fontId="0" fillId="5" borderId="0" xfId="0" applyFill="1" applyAlignment="1">
      <alignment horizontal="center"/>
    </xf>
  </cellXfs>
  <cellStyles count="1">
    <cellStyle name="Normal" xfId="0" builtinId="0"/>
  </cellStyles>
  <dxfs count="140">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fill>
        <patternFill patternType="solid">
          <bgColor rgb="FFFFFF00"/>
        </patternFill>
      </fill>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7" formatCode="_([$$-409]* #,##0.0_);_([$$-409]* \(#,##0.0\);_([$$-409]* &quot;-&quot;??_);_(@_)"/>
    </dxf>
    <dxf>
      <numFmt numFmtId="167" formatCode="_([$$-409]* #,##0.0_);_([$$-409]* \(#,##0.0\);_([$$-409]* &quot;-&quot;??_);_(@_)"/>
    </dxf>
    <dxf>
      <numFmt numFmtId="168" formatCode="_([$$-409]* #,##0_);_([$$-409]* \(#,##0\);_([$$-409]* &quot;-&quot;??_);_(@_)"/>
    </dxf>
    <dxf>
      <fill>
        <patternFill patternType="solid">
          <bgColor rgb="FFFFFF00"/>
        </patternFill>
      </fill>
    </dxf>
    <dxf>
      <numFmt numFmtId="167" formatCode="_([$$-409]* #,##0.0_);_([$$-409]* \(#,##0.0\);_([$$-409]* &quot;-&quot;??_);_(@_)"/>
    </dxf>
    <dxf>
      <numFmt numFmtId="167" formatCode="_([$$-409]* #,##0.0_);_([$$-409]* \(#,##0.0\);_([$$-409]* &quot;-&quot;??_);_(@_)"/>
    </dxf>
    <dxf>
      <numFmt numFmtId="167" formatCode="_([$$-409]* #,##0.0_);_([$$-409]* \(#,##0.0\);_([$$-409]* &quot;-&quot;??_);_(@_)"/>
    </dxf>
    <dxf>
      <numFmt numFmtId="164" formatCode="_([$$-409]* #,##0.00_);_([$$-409]* \(#,##0.00\);_([$$-409]* &quot;-&quot;??_);_(@_)"/>
    </dxf>
    <dxf>
      <numFmt numFmtId="164" formatCode="_([$$-409]* #,##0.00_);_([$$-409]* \(#,##0.00\);_([$$-409]* &quot;-&quot;??_);_(@_)"/>
    </dxf>
    <dxf>
      <fill>
        <patternFill patternType="solid">
          <bgColor rgb="FFFFFF00"/>
        </patternFill>
      </fill>
    </dxf>
    <dxf>
      <numFmt numFmtId="164" formatCode="_([$$-409]* #,##0.00_);_([$$-409]* \(#,##0.00\);_([$$-409]* &quot;-&quot;??_);_(@_)"/>
    </dxf>
    <dxf>
      <numFmt numFmtId="164" formatCode="_([$$-409]* #,##0.00_);_([$$-409]* \(#,##0.00\);_([$$-409]* &quot;-&quot;??_);_(@_)"/>
    </dxf>
    <dxf>
      <numFmt numFmtId="164" formatCode="_([$$-409]* #,##0.00_);_([$$-409]* \(#,##0.00\);_([$$-409]* &quot;-&quot;??_);_(@_)"/>
    </dxf>
    <dxf>
      <numFmt numFmtId="165" formatCode="_([$$-409]* #,##0.000_);_([$$-409]* \(#,##0.000\);_([$$-409]* &quot;-&quot;??_);_(@_)"/>
    </dxf>
    <dxf>
      <numFmt numFmtId="165" formatCode="_([$$-409]* #,##0.000_);_([$$-409]* \(#,##0.000\);_([$$-409]* &quot;-&quot;??_);_(@_)"/>
    </dxf>
    <dxf>
      <fill>
        <patternFill patternType="solid">
          <bgColor rgb="FFFFFF00"/>
        </patternFill>
      </fill>
    </dxf>
    <dxf>
      <numFmt numFmtId="165" formatCode="_([$$-409]* #,##0.000_);_([$$-409]* \(#,##0.000\);_([$$-409]* &quot;-&quot;??_);_(@_)"/>
    </dxf>
    <dxf>
      <numFmt numFmtId="165" formatCode="_([$$-409]* #,##0.000_);_([$$-409]* \(#,##0.000\);_([$$-409]* &quot;-&quot;??_);_(@_)"/>
    </dxf>
    <dxf>
      <numFmt numFmtId="165" formatCode="_([$$-409]* #,##0.000_);_([$$-409]* \(#,##0.000\);_([$$-409]* &quot;-&quot;??_);_(@_)"/>
    </dxf>
    <dxf>
      <numFmt numFmtId="166" formatCode="_([$$-409]* #,##0.0000_);_([$$-409]* \(#,##0.0000\);_([$$-409]* &quot;-&quot;??_);_(@_)"/>
    </dxf>
    <dxf>
      <numFmt numFmtId="166" formatCode="_([$$-409]* #,##0.0000_);_([$$-409]* \(#,##0.0000\);_([$$-409]* &quot;-&quot;??_);_(@_)"/>
    </dxf>
    <dxf>
      <fill>
        <patternFill patternType="solid">
          <bgColor rgb="FFFFFF00"/>
        </patternFill>
      </fill>
    </dxf>
    <dxf>
      <numFmt numFmtId="166" formatCode="_([$$-409]* #,##0.0000_);_([$$-409]* \(#,##0.0000\);_([$$-409]* &quot;-&quot;??_);_(@_)"/>
    </dxf>
    <dxf>
      <numFmt numFmtId="166" formatCode="_([$$-409]* #,##0.0000_);_([$$-409]* \(#,##0.0000\);_([$$-409]* &quot;-&quot;??_);_(@_)"/>
    </dxf>
    <dxf>
      <numFmt numFmtId="166" formatCode="_([$$-409]* #,##0.0000_);_([$$-409]* \(#,##0.0000\);_([$$-409]* &quot;-&quot;??_);_(@_)"/>
    </dxf>
    <dxf>
      <numFmt numFmtId="165" formatCode="_([$$-409]* #,##0.000_);_([$$-409]* \(#,##0.000\);_([$$-409]* &quot;-&quot;??_);_(@_)"/>
    </dxf>
    <dxf>
      <numFmt numFmtId="165" formatCode="_([$$-409]* #,##0.000_);_([$$-409]* \(#,##0.000\);_([$$-409]* &quot;-&quot;??_);_(@_)"/>
    </dxf>
    <dxf>
      <fill>
        <patternFill patternType="solid">
          <bgColor rgb="FFFFFF00"/>
        </patternFill>
      </fill>
    </dxf>
    <dxf>
      <numFmt numFmtId="165" formatCode="_([$$-409]* #,##0.000_);_([$$-409]* \(#,##0.000\);_([$$-409]* &quot;-&quot;??_);_(@_)"/>
    </dxf>
    <dxf>
      <numFmt numFmtId="165" formatCode="_([$$-409]* #,##0.000_);_([$$-409]* \(#,##0.000\);_([$$-409]* &quot;-&quot;??_);_(@_)"/>
    </dxf>
    <dxf>
      <numFmt numFmtId="165" formatCode="_([$$-409]* #,##0.000_);_([$$-409]* \(#,##0.000\);_([$$-409]* &quot;-&quot;??_);_(@_)"/>
    </dxf>
    <dxf>
      <numFmt numFmtId="164" formatCode="_([$$-409]* #,##0.00_);_([$$-409]* \(#,##0.00\);_([$$-409]* &quot;-&quot;??_);_(@_)"/>
    </dxf>
    <dxf>
      <numFmt numFmtId="164" formatCode="_([$$-409]* #,##0.00_);_([$$-409]* \(#,##0.00\);_([$$-409]* &quot;-&quot;??_);_(@_)"/>
    </dxf>
    <dxf>
      <fill>
        <patternFill patternType="solid">
          <bgColor rgb="FFFFFF00"/>
        </patternFill>
      </fill>
    </dxf>
    <dxf>
      <numFmt numFmtId="164" formatCode="_([$$-409]* #,##0.00_);_([$$-409]* \(#,##0.00\);_([$$-409]* &quot;-&quot;??_);_(@_)"/>
    </dxf>
    <dxf>
      <numFmt numFmtId="164" formatCode="_([$$-409]* #,##0.00_);_([$$-409]* \(#,##0.00\);_([$$-409]* &quot;-&quot;??_);_(@_)"/>
    </dxf>
    <dxf>
      <numFmt numFmtId="164" formatCode="_([$$-409]* #,##0.00_);_([$$-409]* \(#,##0.00\);_([$$-409]*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theme="1"/>
        </left>
        <right style="thin">
          <color theme="1"/>
        </right>
        <top style="thin">
          <color theme="1"/>
        </top>
        <bottom style="thin">
          <color theme="1"/>
        </bottom>
      </border>
    </dxf>
    <dxf>
      <fill>
        <patternFill patternType="solid">
          <fgColor rgb="FFB4C6E7"/>
          <bgColor rgb="FFB4C6E7"/>
        </patternFill>
      </fill>
    </dxf>
    <dxf>
      <fill>
        <patternFill patternType="solid">
          <fgColor rgb="FFD9E2F3"/>
          <bgColor rgb="FFD9E2F3"/>
        </patternFill>
      </fill>
    </dxf>
    <dxf>
      <fill>
        <patternFill patternType="solid">
          <fgColor theme="1"/>
          <bgColor theme="1"/>
        </patternFill>
      </fill>
    </dxf>
    <dxf>
      <border>
        <left style="thin">
          <color theme="1"/>
        </left>
        <right style="thin">
          <color theme="1"/>
        </right>
        <top style="thin">
          <color theme="1"/>
        </top>
        <bottom style="thin">
          <color theme="1"/>
        </bottom>
      </border>
    </dxf>
    <dxf>
      <fill>
        <patternFill patternType="solid">
          <fgColor rgb="FFB4C6E7"/>
          <bgColor rgb="FFB4C6E7"/>
        </patternFill>
      </fill>
    </dxf>
    <dxf>
      <fill>
        <patternFill patternType="solid">
          <fgColor rgb="FFD9E2F3"/>
          <bgColor rgb="FFD9E2F3"/>
        </patternFill>
      </fill>
    </dxf>
    <dxf>
      <fill>
        <patternFill patternType="solid">
          <fgColor theme="1"/>
          <bgColor theme="1"/>
        </patternFill>
      </fill>
    </dxf>
  </dxfs>
  <tableStyles count="2">
    <tableStyle name="Lookup-style" pivot="0" count="4" xr9:uid="{00000000-0011-0000-FFFF-FFFF00000000}">
      <tableStyleElement type="wholeTable" size="0" dxfId="136"/>
      <tableStyleElement type="headerRow" dxfId="139"/>
      <tableStyleElement type="firstRowStripe" dxfId="138"/>
      <tableStyleElement type="secondRowStripe" dxfId="137"/>
    </tableStyle>
    <tableStyle name="Pivot Table-style" pivot="0" count="4" xr9:uid="{00000000-0011-0000-FFFF-FFFF01000000}">
      <tableStyleElement type="wholeTable" size="0" dxfId="132"/>
      <tableStyleElement type="headerRow" dxfId="135"/>
      <tableStyleElement type="firstRowStripe" dxfId="134"/>
      <tableStyleElement type="secondRowStripe" dxfId="1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4.214007986113" createdVersion="8" refreshedVersion="8" minRefreshableVersion="3" recordCount="20" xr:uid="{5160858F-6976-42C7-BBE2-E0E75BB56A90}">
  <cacheSource type="worksheet">
    <worksheetSource name="Table_2"/>
  </cacheSource>
  <cacheFields count="13">
    <cacheField name="Customer Name" numFmtId="0">
      <sharedItems count="13">
        <s v="Ruben Dartt"/>
        <s v="Roy Collins"/>
        <s v="Pauline Chand"/>
        <s v="Muhammed MacIntyre"/>
        <s v="Julie Creighton"/>
        <s v="Liz Pelletier"/>
        <s v="Craig Yedwab"/>
        <s v="Jonathan Doherty"/>
        <s v="Tamara Dahlen"/>
        <s v="Keith Dawkins"/>
        <s v="Arthur Gainer"/>
        <s v="Sample Company A"/>
        <s v="Helen Wasserman"/>
      </sharedItems>
    </cacheField>
    <cacheField name="Order Priority" numFmtId="0">
      <sharedItems count="5">
        <s v="Not Specified"/>
        <s v="High"/>
        <s v="Low"/>
        <s v="Medium"/>
        <s v="Critical"/>
      </sharedItems>
    </cacheField>
    <cacheField name="Order Quantity" numFmtId="0">
      <sharedItems containsSemiMixedTypes="0" containsString="0" containsNumber="1" containsInteger="1" minValue="2" maxValue="48" count="18">
        <n v="2"/>
        <n v="3"/>
        <n v="4"/>
        <n v="6"/>
        <n v="14"/>
        <n v="15"/>
        <n v="23"/>
        <n v="24"/>
        <n v="26"/>
        <n v="28"/>
        <n v="29"/>
        <n v="30"/>
        <n v="32"/>
        <n v="37"/>
        <n v="41"/>
        <n v="42"/>
        <n v="46"/>
        <n v="48"/>
      </sharedItems>
    </cacheField>
    <cacheField name="Sales" numFmtId="0">
      <sharedItems containsSemiMixedTypes="0" containsString="0" containsNumber="1" minValue="6.93" maxValue="7804.53" count="20">
        <n v="6.93"/>
        <n v="461.89"/>
        <n v="32.72"/>
        <n v="261.54000000000002"/>
        <n v="1892.848"/>
        <n v="140.56"/>
        <n v="160.23349999999999"/>
        <n v="1761.4"/>
        <n v="2808.08"/>
        <n v="75.569999999999993"/>
        <n v="51.53"/>
        <n v="575.11"/>
        <n v="288.56"/>
        <n v="3812.73"/>
        <n v="4158.1234999999997"/>
        <n v="108.15"/>
        <n v="1186.06"/>
        <n v="2484.7455"/>
        <n v="7804.53"/>
        <n v="90.05"/>
      </sharedItems>
    </cacheField>
    <cacheField name="Discount" numFmtId="0">
      <sharedItems containsSemiMixedTypes="0" containsString="0" containsNumber="1" minValue="0.01" maxValue="0.1"/>
    </cacheField>
    <cacheField name="Ship Mode" numFmtId="0">
      <sharedItems/>
    </cacheField>
    <cacheField name="Profit" numFmtId="0">
      <sharedItems containsSemiMixedTypes="0" containsString="0" containsNumber="1" minValue="-1748.56" maxValue="2057.17"/>
    </cacheField>
    <cacheField name="Region" numFmtId="0">
      <sharedItems count="6">
        <s v="West"/>
        <s v="Prarie"/>
        <s v="Ontario"/>
        <s v="Nunavut"/>
        <s v="Yukon"/>
        <s v="Quebec"/>
      </sharedItems>
    </cacheField>
    <cacheField name="Customer Segment" numFmtId="0">
      <sharedItems count="4">
        <s v="Corporate"/>
        <s v="Small Business"/>
        <s v="Consumer"/>
        <s v="Home Office"/>
      </sharedItems>
    </cacheField>
    <cacheField name="Date" numFmtId="14">
      <sharedItems containsSemiMixedTypes="0" containsNonDate="0" containsDate="1" containsString="0" minDate="2008-04-24T00:00:00" maxDate="2012-06-09T00:00:00" count="20">
        <d v="2009-05-02T00:00:00"/>
        <d v="2009-05-06T00:00:00"/>
        <d v="2012-06-08T00:00:00"/>
        <d v="2009-04-25T00:00:00"/>
        <d v="2009-04-23T00:00:00"/>
        <d v="2009-04-29T00:00:00"/>
        <d v="2009-04-28T00:00:00"/>
        <d v="2009-04-27T00:00:00"/>
        <d v="2012-04-26T00:00:00"/>
        <d v="2009-05-03T00:00:00"/>
        <d v="2010-05-09T00:00:00"/>
        <d v="2009-05-05T00:00:00"/>
        <d v="2008-04-24T00:00:00"/>
        <d v="2009-05-01T00:00:00"/>
        <d v="2011-04-30T00:00:00"/>
        <d v="2009-05-04T00:00:00"/>
        <d v="2011-05-08T00:00:00"/>
        <d v="2009-05-07T00:00:00"/>
        <d v="2011-12-10T00:00:00"/>
        <d v="2011-10-12T00:00:00"/>
      </sharedItems>
      <fieldGroup par="12"/>
    </cacheField>
    <cacheField name="Months (Date)" numFmtId="0" databaseField="0">
      <fieldGroup base="9">
        <rangePr groupBy="months" startDate="2008-04-24T00:00:00" endDate="2012-06-09T00:00:00"/>
        <groupItems count="14">
          <s v="&lt;4/24/2008"/>
          <s v="Jan"/>
          <s v="Feb"/>
          <s v="Mar"/>
          <s v="Apr"/>
          <s v="May"/>
          <s v="Jun"/>
          <s v="Jul"/>
          <s v="Aug"/>
          <s v="Sep"/>
          <s v="Oct"/>
          <s v="Nov"/>
          <s v="Dec"/>
          <s v="&gt;6/9/2012"/>
        </groupItems>
      </fieldGroup>
    </cacheField>
    <cacheField name="Quarters (Date)" numFmtId="0" databaseField="0">
      <fieldGroup base="9">
        <rangePr groupBy="quarters" startDate="2008-04-24T00:00:00" endDate="2012-06-09T00:00:00"/>
        <groupItems count="6">
          <s v="&lt;4/24/2008"/>
          <s v="Qtr1"/>
          <s v="Qtr2"/>
          <s v="Qtr3"/>
          <s v="Qtr4"/>
          <s v="&gt;6/9/2012"/>
        </groupItems>
      </fieldGroup>
    </cacheField>
    <cacheField name="Years (Date)" numFmtId="0" databaseField="0">
      <fieldGroup base="9">
        <rangePr groupBy="years" startDate="2008-04-24T00:00:00" endDate="2012-06-09T00:00:00"/>
        <groupItems count="7">
          <s v="&lt;4/24/2008"/>
          <s v="2008"/>
          <s v="2009"/>
          <s v="2010"/>
          <s v="2011"/>
          <s v="2012"/>
          <s v="&gt;6/9/201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0.01"/>
    <s v="Regular Air"/>
    <n v="-4.6399999999999997"/>
    <x v="0"/>
    <x v="0"/>
    <x v="0"/>
  </r>
  <r>
    <x v="1"/>
    <x v="1"/>
    <x v="1"/>
    <x v="1"/>
    <n v="0.05"/>
    <s v="Express Air"/>
    <n v="-309.82"/>
    <x v="1"/>
    <x v="0"/>
    <x v="1"/>
  </r>
  <r>
    <x v="2"/>
    <x v="2"/>
    <x v="2"/>
    <x v="2"/>
    <n v="0.09"/>
    <s v="Regular Air"/>
    <n v="-22.59"/>
    <x v="2"/>
    <x v="0"/>
    <x v="2"/>
  </r>
  <r>
    <x v="3"/>
    <x v="2"/>
    <x v="3"/>
    <x v="3"/>
    <n v="0.04"/>
    <s v="Regular Air"/>
    <n v="-213.25"/>
    <x v="3"/>
    <x v="1"/>
    <x v="3"/>
  </r>
  <r>
    <x v="4"/>
    <x v="0"/>
    <x v="4"/>
    <x v="4"/>
    <n v="0.01"/>
    <s v="Regular Air"/>
    <n v="48.99"/>
    <x v="0"/>
    <x v="0"/>
    <x v="4"/>
  </r>
  <r>
    <x v="5"/>
    <x v="1"/>
    <x v="5"/>
    <x v="5"/>
    <n v="0.04"/>
    <s v="Regular Air"/>
    <n v="-128.38"/>
    <x v="1"/>
    <x v="0"/>
    <x v="5"/>
  </r>
  <r>
    <x v="5"/>
    <x v="1"/>
    <x v="6"/>
    <x v="6"/>
    <n v="0.04"/>
    <s v="Regular Air"/>
    <n v="-85.13"/>
    <x v="0"/>
    <x v="0"/>
    <x v="6"/>
  </r>
  <r>
    <x v="5"/>
    <x v="1"/>
    <x v="7"/>
    <x v="7"/>
    <n v="0.09"/>
    <s v="Delivery Truck"/>
    <n v="-1748.56"/>
    <x v="0"/>
    <x v="0"/>
    <x v="7"/>
  </r>
  <r>
    <x v="5"/>
    <x v="1"/>
    <x v="8"/>
    <x v="8"/>
    <n v="7.0000000000000007E-2"/>
    <s v="Regular Air"/>
    <n v="1054.82"/>
    <x v="0"/>
    <x v="0"/>
    <x v="8"/>
  </r>
  <r>
    <x v="6"/>
    <x v="3"/>
    <x v="8"/>
    <x v="9"/>
    <n v="0.03"/>
    <s v="Regular Air"/>
    <n v="28.24"/>
    <x v="4"/>
    <x v="2"/>
    <x v="9"/>
  </r>
  <r>
    <x v="7"/>
    <x v="0"/>
    <x v="9"/>
    <x v="10"/>
    <n v="0.03"/>
    <s v="Express Air"/>
    <n v="0.35"/>
    <x v="1"/>
    <x v="0"/>
    <x v="10"/>
  </r>
  <r>
    <x v="1"/>
    <x v="1"/>
    <x v="10"/>
    <x v="11"/>
    <n v="0.02"/>
    <s v="Regular Air"/>
    <n v="71.75"/>
    <x v="1"/>
    <x v="0"/>
    <x v="11"/>
  </r>
  <r>
    <x v="4"/>
    <x v="0"/>
    <x v="11"/>
    <x v="12"/>
    <n v="0.03"/>
    <s v="Regular Air"/>
    <n v="60.72"/>
    <x v="0"/>
    <x v="0"/>
    <x v="12"/>
  </r>
  <r>
    <x v="8"/>
    <x v="4"/>
    <x v="12"/>
    <x v="13"/>
    <n v="0.02"/>
    <s v="Regular Air"/>
    <n v="1470.3"/>
    <x v="2"/>
    <x v="0"/>
    <x v="13"/>
  </r>
  <r>
    <x v="9"/>
    <x v="1"/>
    <x v="13"/>
    <x v="14"/>
    <n v="0.01"/>
    <s v="Regular Air"/>
    <n v="1228.8900000000001"/>
    <x v="1"/>
    <x v="3"/>
    <x v="14"/>
  </r>
  <r>
    <x v="10"/>
    <x v="2"/>
    <x v="14"/>
    <x v="15"/>
    <n v="0.09"/>
    <s v="Regular Air"/>
    <n v="7.57"/>
    <x v="0"/>
    <x v="2"/>
    <x v="15"/>
  </r>
  <r>
    <x v="7"/>
    <x v="0"/>
    <x v="15"/>
    <x v="16"/>
    <n v="0.09"/>
    <s v="Regular Air"/>
    <n v="511.69"/>
    <x v="1"/>
    <x v="0"/>
    <x v="16"/>
  </r>
  <r>
    <x v="11"/>
    <x v="4"/>
    <x v="16"/>
    <x v="17"/>
    <n v="0.1"/>
    <s v="Regular Air"/>
    <n v="657.48"/>
    <x v="0"/>
    <x v="3"/>
    <x v="17"/>
  </r>
  <r>
    <x v="12"/>
    <x v="2"/>
    <x v="16"/>
    <x v="18"/>
    <n v="0.05"/>
    <s v="Regular Air"/>
    <n v="2057.17"/>
    <x v="5"/>
    <x v="3"/>
    <x v="18"/>
  </r>
  <r>
    <x v="12"/>
    <x v="2"/>
    <x v="17"/>
    <x v="19"/>
    <n v="0.03"/>
    <s v="Regular Air"/>
    <n v="-107"/>
    <x v="5"/>
    <x v="3"/>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49D8F-C359-46B4-8204-D15F2086AF01}" name="PivotTable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6:F7" firstHeaderRow="1" firstDataRow="1" firstDataCol="1"/>
  <pivotFields count="13">
    <pivotField showAll="0">
      <items count="14">
        <item x="10"/>
        <item x="6"/>
        <item x="12"/>
        <item x="7"/>
        <item x="4"/>
        <item x="9"/>
        <item x="5"/>
        <item x="3"/>
        <item x="2"/>
        <item x="1"/>
        <item x="0"/>
        <item x="11"/>
        <item x="8"/>
        <item t="default"/>
      </items>
    </pivotField>
    <pivotField showAll="0" measureFilter="1">
      <items count="6">
        <item x="4"/>
        <item x="1"/>
        <item x="2"/>
        <item x="3"/>
        <item x="0"/>
        <item t="default"/>
      </items>
    </pivotField>
    <pivotField showAll="0"/>
    <pivotField dataField="1" showAll="0">
      <items count="21">
        <item x="0"/>
        <item x="2"/>
        <item x="10"/>
        <item x="9"/>
        <item x="19"/>
        <item x="15"/>
        <item x="5"/>
        <item x="6"/>
        <item x="3"/>
        <item x="12"/>
        <item x="1"/>
        <item x="11"/>
        <item x="16"/>
        <item x="7"/>
        <item x="4"/>
        <item x="17"/>
        <item x="8"/>
        <item x="13"/>
        <item x="14"/>
        <item x="18"/>
        <item t="default"/>
      </items>
    </pivotField>
    <pivotField showAll="0"/>
    <pivotField showAll="0"/>
    <pivotField showAll="0"/>
    <pivotField showAll="0">
      <items count="7">
        <item x="3"/>
        <item x="2"/>
        <item x="1"/>
        <item x="5"/>
        <item x="0"/>
        <item x="4"/>
        <item t="default"/>
      </items>
    </pivotField>
    <pivotField axis="axisRow" showAll="0" measureFilter="1">
      <items count="5">
        <item x="2"/>
        <item x="0"/>
        <item x="3"/>
        <item x="1"/>
        <item t="default"/>
      </items>
    </pivotField>
    <pivotField numFmtId="14" showAll="0">
      <items count="21">
        <item x="12"/>
        <item x="4"/>
        <item x="3"/>
        <item x="7"/>
        <item x="6"/>
        <item x="5"/>
        <item x="13"/>
        <item x="0"/>
        <item x="9"/>
        <item x="15"/>
        <item x="11"/>
        <item x="1"/>
        <item x="17"/>
        <item x="10"/>
        <item x="14"/>
        <item x="16"/>
        <item x="19"/>
        <item x="18"/>
        <item x="8"/>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sd="0" x="2"/>
        <item h="1" sd="0" x="3"/>
        <item h="1" sd="0" x="4"/>
        <item h="1" sd="0" x="5"/>
        <item h="1" sd="0" x="6"/>
        <item t="default"/>
      </items>
    </pivotField>
  </pivotFields>
  <rowFields count="1">
    <field x="8"/>
  </rowFields>
  <rowItems count="1">
    <i>
      <x v="2"/>
    </i>
  </rowItems>
  <colItems count="1">
    <i/>
  </colItems>
  <dataFields count="1">
    <dataField name="Sum of Sales" fld="3" baseField="0" baseItem="0" numFmtId="168"/>
  </dataFields>
  <formats count="3">
    <format dxfId="3">
      <pivotArea dataOnly="0" outline="0" axis="axisValues" fieldPosition="0"/>
    </format>
    <format dxfId="4">
      <pivotArea outline="0" collapsedLevelsAreSubtotals="1" fieldPosition="0"/>
    </format>
    <format dxfId="5">
      <pivotArea dataOnly="0" labelOnly="1" outline="0" axis="axisValues" fieldPosition="0"/>
    </format>
  </formats>
  <pivotTableStyleInfo showRowHeaders="1" showColHeaders="1" showRowStripes="0" showColStripes="0" showLastColumn="1"/>
  <filters count="2">
    <filter fld="8" type="count" evalOrder="-1" id="3" iMeasureFld="0">
      <autoFilter ref="A1">
        <filterColumn colId="0">
          <top10 val="1" filterVal="1"/>
        </filterColumn>
      </autoFilter>
    </filter>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85A44F-1BE8-499F-AB55-421A7FE6367A}"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B7" firstHeaderRow="1" firstDataRow="1" firstDataCol="1"/>
  <pivotFields count="13">
    <pivotField showAll="0">
      <items count="14">
        <item x="10"/>
        <item x="6"/>
        <item x="12"/>
        <item x="7"/>
        <item x="4"/>
        <item x="9"/>
        <item x="5"/>
        <item x="3"/>
        <item x="2"/>
        <item x="1"/>
        <item x="0"/>
        <item x="11"/>
        <item x="8"/>
        <item t="default"/>
      </items>
    </pivotField>
    <pivotField showAll="0" measureFilter="1">
      <items count="6">
        <item x="4"/>
        <item x="1"/>
        <item x="2"/>
        <item x="3"/>
        <item x="0"/>
        <item t="default"/>
      </items>
    </pivotField>
    <pivotField showAll="0"/>
    <pivotField dataField="1" showAll="0">
      <items count="21">
        <item x="0"/>
        <item x="2"/>
        <item x="10"/>
        <item x="9"/>
        <item x="19"/>
        <item x="15"/>
        <item x="5"/>
        <item x="6"/>
        <item x="3"/>
        <item x="12"/>
        <item x="1"/>
        <item x="11"/>
        <item x="16"/>
        <item x="7"/>
        <item x="4"/>
        <item x="17"/>
        <item x="8"/>
        <item x="13"/>
        <item x="14"/>
        <item x="18"/>
        <item t="default"/>
      </items>
    </pivotField>
    <pivotField showAll="0"/>
    <pivotField showAll="0"/>
    <pivotField showAll="0"/>
    <pivotField axis="axisRow" showAll="0">
      <items count="7">
        <item h="1" x="3"/>
        <item h="1" x="2"/>
        <item h="1" x="1"/>
        <item h="1" x="5"/>
        <item h="1" x="0"/>
        <item x="4"/>
        <item t="default"/>
      </items>
    </pivotField>
    <pivotField showAll="0">
      <items count="5">
        <item x="2"/>
        <item x="0"/>
        <item x="3"/>
        <item x="1"/>
        <item t="default"/>
      </items>
    </pivotField>
    <pivotField numFmtId="14" showAll="0">
      <items count="21">
        <item x="12"/>
        <item x="4"/>
        <item x="3"/>
        <item x="7"/>
        <item x="6"/>
        <item x="5"/>
        <item x="13"/>
        <item x="0"/>
        <item x="9"/>
        <item x="15"/>
        <item x="11"/>
        <item x="1"/>
        <item x="17"/>
        <item x="10"/>
        <item x="14"/>
        <item x="16"/>
        <item x="19"/>
        <item x="18"/>
        <item x="8"/>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sd="0" x="2"/>
        <item h="1" sd="0" x="3"/>
        <item h="1" sd="0" x="4"/>
        <item h="1" sd="0" x="5"/>
        <item h="1" sd="0" x="6"/>
        <item t="default"/>
      </items>
    </pivotField>
  </pivotFields>
  <rowFields count="1">
    <field x="7"/>
  </rowFields>
  <rowItems count="1">
    <i>
      <x v="5"/>
    </i>
  </rowItems>
  <colItems count="1">
    <i/>
  </colItems>
  <dataFields count="1">
    <dataField name="Sum of Sales" fld="3" baseField="0" baseItem="0" numFmtId="168"/>
  </dataFields>
  <formats count="3">
    <format dxfId="54">
      <pivotArea dataOnly="0" outline="0" axis="axisValues" fieldPosition="0"/>
    </format>
    <format dxfId="55">
      <pivotArea outline="0" collapsedLevelsAreSubtotals="1" fieldPosition="0"/>
    </format>
    <format dxfId="56">
      <pivotArea dataOnly="0" labelOnly="1" outline="0" axis="axisValues" fieldPosition="0"/>
    </format>
  </formats>
  <pivotTableStyleInfo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0A5D0-49AF-49DF-B370-86E53381A14F}"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3:J4" firstHeaderRow="1" firstDataRow="1" firstDataCol="1"/>
  <pivotFields count="13">
    <pivotField showAll="0">
      <items count="14">
        <item x="10"/>
        <item x="6"/>
        <item x="12"/>
        <item x="7"/>
        <item x="4"/>
        <item x="9"/>
        <item x="5"/>
        <item x="3"/>
        <item x="2"/>
        <item x="1"/>
        <item x="0"/>
        <item x="11"/>
        <item x="8"/>
        <item t="default"/>
      </items>
    </pivotField>
    <pivotField showAll="0" measureFilter="1">
      <items count="6">
        <item x="4"/>
        <item x="1"/>
        <item x="2"/>
        <item x="3"/>
        <item x="0"/>
        <item t="default"/>
      </items>
    </pivotField>
    <pivotField showAll="0"/>
    <pivotField dataField="1" showAll="0">
      <items count="21">
        <item x="0"/>
        <item x="2"/>
        <item x="10"/>
        <item x="9"/>
        <item x="19"/>
        <item x="15"/>
        <item x="5"/>
        <item x="6"/>
        <item x="3"/>
        <item x="12"/>
        <item x="1"/>
        <item x="11"/>
        <item x="16"/>
        <item x="7"/>
        <item x="4"/>
        <item x="17"/>
        <item x="8"/>
        <item x="13"/>
        <item x="14"/>
        <item x="18"/>
        <item t="default"/>
      </items>
    </pivotField>
    <pivotField showAll="0"/>
    <pivotField showAll="0"/>
    <pivotField showAll="0"/>
    <pivotField showAll="0"/>
    <pivotField showAll="0"/>
    <pivotField axis="axisRow" numFmtId="14" showAll="0">
      <items count="21">
        <item x="12"/>
        <item x="4"/>
        <item x="3"/>
        <item x="7"/>
        <item x="6"/>
        <item x="5"/>
        <item x="13"/>
        <item x="0"/>
        <item x="9"/>
        <item x="15"/>
        <item x="11"/>
        <item x="1"/>
        <item x="17"/>
        <item x="10"/>
        <item x="14"/>
        <item x="16"/>
        <item x="19"/>
        <item x="18"/>
        <item x="8"/>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h="1" sd="0" x="0"/>
        <item h="1" sd="0" x="1"/>
        <item sd="0" x="2"/>
        <item h="1" sd="0" x="3"/>
        <item h="1" sd="0" x="4"/>
        <item h="1" sd="0" x="5"/>
        <item h="1" sd="0" x="6"/>
        <item t="default"/>
      </items>
    </pivotField>
  </pivotFields>
  <rowFields count="4">
    <field x="12"/>
    <field x="11"/>
    <field x="10"/>
    <field x="9"/>
  </rowFields>
  <rowItems count="1">
    <i>
      <x v="2"/>
    </i>
  </rowItems>
  <colItems count="1">
    <i/>
  </colItems>
  <dataFields count="1">
    <dataField name="Sum of Sales" fld="3" baseField="0" baseItem="0" numFmtId="168"/>
  </dataFields>
  <formats count="3">
    <format dxfId="73">
      <pivotArea dataOnly="0" outline="0" axis="axisValues" fieldPosition="0"/>
    </format>
    <format dxfId="74">
      <pivotArea outline="0" collapsedLevelsAreSubtotals="1" fieldPosition="0"/>
    </format>
    <format dxfId="75">
      <pivotArea dataOnly="0" labelOnly="1" outline="0" axis="axisValues" fieldPosition="0"/>
    </format>
  </formats>
  <pivotTableStyleInfo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A6713-87C6-4A2D-A175-CF87B1026117}"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F4" firstHeaderRow="1" firstDataRow="1" firstDataCol="1"/>
  <pivotFields count="13">
    <pivotField showAll="0">
      <items count="14">
        <item x="10"/>
        <item x="6"/>
        <item x="12"/>
        <item x="7"/>
        <item x="4"/>
        <item x="9"/>
        <item x="5"/>
        <item x="3"/>
        <item x="2"/>
        <item x="1"/>
        <item x="0"/>
        <item x="11"/>
        <item x="8"/>
        <item t="default"/>
      </items>
    </pivotField>
    <pivotField axis="axisRow" showAll="0" measureFilter="1">
      <items count="6">
        <item x="4"/>
        <item x="1"/>
        <item x="2"/>
        <item x="3"/>
        <item x="0"/>
        <item t="default"/>
      </items>
    </pivotField>
    <pivotField showAll="0"/>
    <pivotField dataField="1" showAll="0">
      <items count="21">
        <item x="0"/>
        <item x="2"/>
        <item x="10"/>
        <item x="9"/>
        <item x="19"/>
        <item x="15"/>
        <item x="5"/>
        <item x="6"/>
        <item x="3"/>
        <item x="12"/>
        <item x="1"/>
        <item x="11"/>
        <item x="16"/>
        <item x="7"/>
        <item x="4"/>
        <item x="17"/>
        <item x="8"/>
        <item x="13"/>
        <item x="14"/>
        <item x="18"/>
        <item t="default"/>
      </items>
    </pivotField>
    <pivotField showAll="0"/>
    <pivotField showAll="0"/>
    <pivotField showAll="0"/>
    <pivotField showAll="0"/>
    <pivotField showAll="0"/>
    <pivotField numFmtId="14" showAll="0">
      <items count="21">
        <item x="12"/>
        <item x="4"/>
        <item x="3"/>
        <item x="7"/>
        <item x="6"/>
        <item x="5"/>
        <item x="13"/>
        <item x="0"/>
        <item x="9"/>
        <item x="15"/>
        <item x="11"/>
        <item x="1"/>
        <item x="17"/>
        <item x="10"/>
        <item x="14"/>
        <item x="16"/>
        <item x="19"/>
        <item x="18"/>
        <item x="8"/>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1">
    <i>
      <x v="1"/>
    </i>
  </rowItems>
  <colItems count="1">
    <i/>
  </colItems>
  <dataFields count="1">
    <dataField name="Sum of Sales" fld="3" baseField="0" baseItem="0" numFmtId="168"/>
  </dataFields>
  <formats count="3">
    <format dxfId="129">
      <pivotArea dataOnly="0" outline="0" axis="axisValues" fieldPosition="0"/>
    </format>
    <format dxfId="83">
      <pivotArea outline="0" collapsedLevelsAreSubtotals="1" fieldPosition="0"/>
    </format>
    <format dxfId="80">
      <pivotArea dataOnly="0" labelOnly="1" outline="0" axis="axisValues" fieldPosition="0"/>
    </format>
  </formats>
  <pivotTableStyleInfo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224619-1765-4B9C-A9E0-B6FDE20EB06D}"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4" firstHeaderRow="1" firstDataRow="1" firstDataCol="1"/>
  <pivotFields count="13">
    <pivotField axis="axisRow" showAll="0">
      <items count="14">
        <item h="1" x="10"/>
        <item h="1" x="6"/>
        <item h="1" x="12"/>
        <item h="1" x="7"/>
        <item h="1" x="4"/>
        <item h="1" x="9"/>
        <item x="5"/>
        <item h="1" x="3"/>
        <item h="1" x="2"/>
        <item h="1" x="1"/>
        <item h="1" x="0"/>
        <item h="1" x="11"/>
        <item h="1" x="8"/>
        <item t="default"/>
      </items>
    </pivotField>
    <pivotField showAll="0"/>
    <pivotField dataField="1" showAll="0"/>
    <pivotField showAll="0"/>
    <pivotField showAll="0"/>
    <pivotField showAll="0"/>
    <pivotField showAll="0"/>
    <pivotField showAll="0"/>
    <pivotField showAll="0"/>
    <pivotField numFmtId="14" showAll="0">
      <items count="21">
        <item x="12"/>
        <item x="4"/>
        <item x="3"/>
        <item x="7"/>
        <item x="6"/>
        <item x="5"/>
        <item x="13"/>
        <item x="0"/>
        <item x="9"/>
        <item x="15"/>
        <item x="11"/>
        <item x="1"/>
        <item x="17"/>
        <item x="10"/>
        <item x="14"/>
        <item x="16"/>
        <item x="19"/>
        <item x="18"/>
        <item x="8"/>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1">
    <i>
      <x v="6"/>
    </i>
  </rowItems>
  <colItems count="1">
    <i/>
  </colItems>
  <dataFields count="1">
    <dataField name="Sum of Order Quantity" fld="2" baseField="0" baseItem="0"/>
  </dataFields>
  <formats count="1">
    <format dxfId="131">
      <pivotArea dataOnly="0"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21">
  <tableColumns count="10">
    <tableColumn id="1" xr3:uid="{00000000-0010-0000-0000-000001000000}" name="Customer Name"/>
    <tableColumn id="2" xr3:uid="{00000000-0010-0000-0000-000002000000}" name="Order Priority"/>
    <tableColumn id="3" xr3:uid="{00000000-0010-0000-0000-000003000000}" name="Order Quantity"/>
    <tableColumn id="4" xr3:uid="{00000000-0010-0000-0000-000004000000}" name="Sales"/>
    <tableColumn id="5" xr3:uid="{00000000-0010-0000-0000-000005000000}" name="Discount"/>
    <tableColumn id="6" xr3:uid="{00000000-0010-0000-0000-000006000000}" name="Ship Mode"/>
    <tableColumn id="7" xr3:uid="{00000000-0010-0000-0000-000007000000}" name="Profit"/>
    <tableColumn id="8" xr3:uid="{00000000-0010-0000-0000-000008000000}" name="Region"/>
    <tableColumn id="9" xr3:uid="{00000000-0010-0000-0000-000009000000}" name="Customer Segment"/>
    <tableColumn id="10" xr3:uid="{00000000-0010-0000-0000-00000A000000}" name="Date"/>
  </tableColumns>
  <tableStyleInfo name="Looku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21">
  <tableColumns count="10">
    <tableColumn id="1" xr3:uid="{00000000-0010-0000-0100-000001000000}" name="Customer Name"/>
    <tableColumn id="2" xr3:uid="{00000000-0010-0000-0100-000002000000}" name="Order Priority"/>
    <tableColumn id="3" xr3:uid="{00000000-0010-0000-0100-000003000000}" name="Order Quantity"/>
    <tableColumn id="4" xr3:uid="{00000000-0010-0000-0100-000004000000}" name="Sales"/>
    <tableColumn id="5" xr3:uid="{00000000-0010-0000-0100-000005000000}" name="Discount"/>
    <tableColumn id="6" xr3:uid="{00000000-0010-0000-0100-000006000000}" name="Ship Mode"/>
    <tableColumn id="7" xr3:uid="{00000000-0010-0000-0100-000007000000}" name="Profit"/>
    <tableColumn id="8" xr3:uid="{00000000-0010-0000-0100-000008000000}" name="Region"/>
    <tableColumn id="9" xr3:uid="{00000000-0010-0000-0100-000009000000}" name="Customer Segment"/>
    <tableColumn id="10" xr3:uid="{00000000-0010-0000-0100-00000A000000}" name="Date"/>
  </tableColumns>
  <tableStyleInfo name="Pivot Tabl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E1000"/>
  <sheetViews>
    <sheetView topLeftCell="A8" workbookViewId="0">
      <selection activeCell="C22" sqref="C22"/>
    </sheetView>
  </sheetViews>
  <sheetFormatPr defaultColWidth="14.42578125" defaultRowHeight="15" customHeight="1" x14ac:dyDescent="0.25"/>
  <cols>
    <col min="1" max="4" width="8.7109375" customWidth="1"/>
    <col min="5" max="5" width="74.42578125" customWidth="1"/>
    <col min="6" max="26" width="8.7109375" customWidth="1"/>
  </cols>
  <sheetData>
    <row r="4" spans="5:5" ht="17.25" x14ac:dyDescent="0.25">
      <c r="E4" s="1" t="s">
        <v>0</v>
      </c>
    </row>
    <row r="5" spans="5:5" x14ac:dyDescent="0.25">
      <c r="E5" s="2"/>
    </row>
    <row r="6" spans="5:5" x14ac:dyDescent="0.25">
      <c r="E6" s="3" t="s">
        <v>1</v>
      </c>
    </row>
    <row r="7" spans="5:5" ht="45" x14ac:dyDescent="0.25">
      <c r="E7" s="4" t="s">
        <v>2</v>
      </c>
    </row>
    <row r="8" spans="5:5" x14ac:dyDescent="0.25">
      <c r="E8" s="2"/>
    </row>
    <row r="9" spans="5:5" ht="17.25" x14ac:dyDescent="0.25">
      <c r="E9" s="5" t="s">
        <v>3</v>
      </c>
    </row>
    <row r="10" spans="5:5" x14ac:dyDescent="0.25">
      <c r="E10" s="6"/>
    </row>
    <row r="11" spans="5:5" ht="30" x14ac:dyDescent="0.25">
      <c r="E11" s="7" t="s">
        <v>4</v>
      </c>
    </row>
    <row r="12" spans="5:5" ht="45" x14ac:dyDescent="0.25">
      <c r="E12" s="7" t="s">
        <v>5</v>
      </c>
    </row>
    <row r="13" spans="5:5" ht="30" x14ac:dyDescent="0.25">
      <c r="E13" s="7" t="s">
        <v>6</v>
      </c>
    </row>
    <row r="14" spans="5:5" x14ac:dyDescent="0.25">
      <c r="E14" s="2"/>
    </row>
    <row r="15" spans="5:5" ht="17.25" x14ac:dyDescent="0.25">
      <c r="E15" s="1" t="s">
        <v>7</v>
      </c>
    </row>
    <row r="16" spans="5:5" x14ac:dyDescent="0.25">
      <c r="E16" s="8"/>
    </row>
    <row r="17" spans="5:5" ht="30" x14ac:dyDescent="0.25">
      <c r="E17" s="6" t="s">
        <v>8</v>
      </c>
    </row>
    <row r="18" spans="5:5" x14ac:dyDescent="0.25">
      <c r="E18" s="6" t="s">
        <v>9</v>
      </c>
    </row>
    <row r="19" spans="5:5" x14ac:dyDescent="0.25">
      <c r="E19" s="4"/>
    </row>
    <row r="20" spans="5:5" ht="30" x14ac:dyDescent="0.25">
      <c r="E20" s="4" t="s">
        <v>10</v>
      </c>
    </row>
    <row r="21" spans="5:5" ht="15.75" customHeight="1" x14ac:dyDescent="0.25"/>
    <row r="22" spans="5:5" ht="15.75" customHeight="1" x14ac:dyDescent="0.25"/>
    <row r="23" spans="5:5" ht="15.75" customHeight="1" x14ac:dyDescent="0.25"/>
    <row r="24" spans="5:5" ht="15.75" customHeight="1" x14ac:dyDescent="0.25"/>
    <row r="25" spans="5:5" ht="15.75" customHeight="1" x14ac:dyDescent="0.25"/>
    <row r="26" spans="5:5" ht="15.75" customHeight="1" x14ac:dyDescent="0.25"/>
    <row r="27" spans="5:5" ht="15.75" customHeight="1" x14ac:dyDescent="0.25"/>
    <row r="28" spans="5:5" ht="15.75" customHeight="1" x14ac:dyDescent="0.25"/>
    <row r="29" spans="5:5" ht="15.75" customHeight="1" x14ac:dyDescent="0.25"/>
    <row r="30" spans="5:5" ht="15.75" customHeight="1" x14ac:dyDescent="0.25"/>
    <row r="31" spans="5:5" ht="15.75" customHeight="1" x14ac:dyDescent="0.25"/>
    <row r="32" spans="5: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zoomScale="80" zoomScaleNormal="80" workbookViewId="0">
      <pane ySplit="1" topLeftCell="A28" activePane="bottomLeft" state="frozen"/>
      <selection pane="bottomLeft" activeCell="B34" sqref="B34"/>
    </sheetView>
  </sheetViews>
  <sheetFormatPr defaultColWidth="41.5703125" defaultRowHeight="15" customHeight="1" x14ac:dyDescent="0.25"/>
  <sheetData>
    <row r="1" spans="1:12" x14ac:dyDescent="0.25">
      <c r="A1" s="9" t="s">
        <v>11</v>
      </c>
      <c r="B1" s="9" t="s">
        <v>12</v>
      </c>
      <c r="C1" s="9" t="s">
        <v>13</v>
      </c>
      <c r="D1" s="9" t="s">
        <v>14</v>
      </c>
      <c r="E1" s="9" t="s">
        <v>15</v>
      </c>
      <c r="F1" s="9" t="s">
        <v>16</v>
      </c>
      <c r="G1" s="9" t="s">
        <v>17</v>
      </c>
      <c r="H1" s="9" t="s">
        <v>18</v>
      </c>
      <c r="I1" s="9" t="s">
        <v>19</v>
      </c>
      <c r="J1" s="9" t="s">
        <v>20</v>
      </c>
      <c r="L1" s="18" t="s">
        <v>72</v>
      </c>
    </row>
    <row r="2" spans="1:12" x14ac:dyDescent="0.25">
      <c r="A2" s="10" t="s">
        <v>21</v>
      </c>
      <c r="B2" s="10" t="s">
        <v>22</v>
      </c>
      <c r="C2" s="10">
        <v>2</v>
      </c>
      <c r="D2" s="10">
        <v>6.93</v>
      </c>
      <c r="E2" s="10">
        <v>0.01</v>
      </c>
      <c r="F2" s="10" t="s">
        <v>23</v>
      </c>
      <c r="G2" s="10">
        <v>-4.6399999999999997</v>
      </c>
      <c r="H2" s="10" t="s">
        <v>24</v>
      </c>
      <c r="I2" s="10" t="s">
        <v>25</v>
      </c>
      <c r="J2" s="11">
        <v>39935</v>
      </c>
    </row>
    <row r="3" spans="1:12" x14ac:dyDescent="0.25">
      <c r="A3" s="10" t="s">
        <v>26</v>
      </c>
      <c r="B3" s="10" t="s">
        <v>27</v>
      </c>
      <c r="C3" s="10">
        <v>3</v>
      </c>
      <c r="D3" s="10">
        <v>461.89</v>
      </c>
      <c r="E3" s="10">
        <v>0.05</v>
      </c>
      <c r="F3" s="10" t="s">
        <v>28</v>
      </c>
      <c r="G3" s="10">
        <v>-309.82</v>
      </c>
      <c r="H3" s="10" t="s">
        <v>29</v>
      </c>
      <c r="I3" s="10" t="s">
        <v>25</v>
      </c>
      <c r="J3" s="11">
        <v>39939</v>
      </c>
    </row>
    <row r="4" spans="1:12" x14ac:dyDescent="0.25">
      <c r="A4" s="10" t="s">
        <v>30</v>
      </c>
      <c r="B4" s="10" t="s">
        <v>31</v>
      </c>
      <c r="C4" s="10">
        <v>4</v>
      </c>
      <c r="D4" s="10">
        <v>32.72</v>
      </c>
      <c r="E4" s="10">
        <v>0.09</v>
      </c>
      <c r="F4" s="10" t="s">
        <v>23</v>
      </c>
      <c r="G4" s="10">
        <v>-22.59</v>
      </c>
      <c r="H4" s="10" t="s">
        <v>32</v>
      </c>
      <c r="I4" s="10" t="s">
        <v>25</v>
      </c>
      <c r="J4" s="11">
        <v>41068</v>
      </c>
    </row>
    <row r="5" spans="1:12" x14ac:dyDescent="0.25">
      <c r="A5" s="10" t="s">
        <v>33</v>
      </c>
      <c r="B5" s="10" t="s">
        <v>31</v>
      </c>
      <c r="C5" s="10">
        <v>6</v>
      </c>
      <c r="D5" s="10">
        <v>261.54000000000002</v>
      </c>
      <c r="E5" s="10">
        <v>0.04</v>
      </c>
      <c r="F5" s="10" t="s">
        <v>23</v>
      </c>
      <c r="G5" s="10">
        <v>-213.25</v>
      </c>
      <c r="H5" s="10" t="s">
        <v>34</v>
      </c>
      <c r="I5" s="10" t="s">
        <v>35</v>
      </c>
      <c r="J5" s="11">
        <v>39928</v>
      </c>
    </row>
    <row r="6" spans="1:12" x14ac:dyDescent="0.25">
      <c r="A6" s="10" t="s">
        <v>36</v>
      </c>
      <c r="B6" s="10" t="s">
        <v>22</v>
      </c>
      <c r="C6" s="10">
        <v>14</v>
      </c>
      <c r="D6" s="10">
        <v>1892.848</v>
      </c>
      <c r="E6" s="10">
        <v>0.01</v>
      </c>
      <c r="F6" s="10" t="s">
        <v>23</v>
      </c>
      <c r="G6" s="10">
        <v>48.99</v>
      </c>
      <c r="H6" s="10" t="s">
        <v>24</v>
      </c>
      <c r="I6" s="10" t="s">
        <v>25</v>
      </c>
      <c r="J6" s="11">
        <v>39926</v>
      </c>
    </row>
    <row r="7" spans="1:12" x14ac:dyDescent="0.25">
      <c r="A7" s="10" t="s">
        <v>37</v>
      </c>
      <c r="B7" s="10" t="s">
        <v>27</v>
      </c>
      <c r="C7" s="10">
        <v>15</v>
      </c>
      <c r="D7" s="10">
        <v>140.56</v>
      </c>
      <c r="E7" s="10">
        <v>0.04</v>
      </c>
      <c r="F7" s="10" t="s">
        <v>23</v>
      </c>
      <c r="G7" s="10">
        <v>-128.38</v>
      </c>
      <c r="H7" s="10" t="s">
        <v>29</v>
      </c>
      <c r="I7" s="10" t="s">
        <v>25</v>
      </c>
      <c r="J7" s="11">
        <v>39932</v>
      </c>
    </row>
    <row r="8" spans="1:12" x14ac:dyDescent="0.25">
      <c r="A8" s="10" t="s">
        <v>37</v>
      </c>
      <c r="B8" s="10" t="s">
        <v>27</v>
      </c>
      <c r="C8" s="10">
        <v>23</v>
      </c>
      <c r="D8" s="10">
        <v>160.23349999999999</v>
      </c>
      <c r="E8" s="10">
        <v>0.04</v>
      </c>
      <c r="F8" s="10" t="s">
        <v>23</v>
      </c>
      <c r="G8" s="10">
        <v>-85.13</v>
      </c>
      <c r="H8" s="10" t="s">
        <v>24</v>
      </c>
      <c r="I8" s="10" t="s">
        <v>25</v>
      </c>
      <c r="J8" s="11">
        <v>39931</v>
      </c>
    </row>
    <row r="9" spans="1:12" x14ac:dyDescent="0.25">
      <c r="A9" s="10" t="s">
        <v>37</v>
      </c>
      <c r="B9" s="10" t="s">
        <v>27</v>
      </c>
      <c r="C9" s="10">
        <v>24</v>
      </c>
      <c r="D9" s="10">
        <v>1761.4</v>
      </c>
      <c r="E9" s="10">
        <v>0.09</v>
      </c>
      <c r="F9" s="10" t="s">
        <v>38</v>
      </c>
      <c r="G9" s="10">
        <v>-1748.56</v>
      </c>
      <c r="H9" s="10" t="s">
        <v>24</v>
      </c>
      <c r="I9" s="10" t="s">
        <v>25</v>
      </c>
      <c r="J9" s="11">
        <v>39930</v>
      </c>
    </row>
    <row r="10" spans="1:12" x14ac:dyDescent="0.25">
      <c r="A10" s="10" t="s">
        <v>37</v>
      </c>
      <c r="B10" s="10" t="s">
        <v>27</v>
      </c>
      <c r="C10" s="10">
        <v>26</v>
      </c>
      <c r="D10" s="10">
        <v>2808.08</v>
      </c>
      <c r="E10" s="10">
        <v>7.0000000000000007E-2</v>
      </c>
      <c r="F10" s="10" t="s">
        <v>23</v>
      </c>
      <c r="G10" s="10">
        <v>1054.82</v>
      </c>
      <c r="H10" s="10" t="s">
        <v>24</v>
      </c>
      <c r="I10" s="10" t="s">
        <v>25</v>
      </c>
      <c r="J10" s="11">
        <v>41025</v>
      </c>
    </row>
    <row r="11" spans="1:12" x14ac:dyDescent="0.25">
      <c r="A11" s="10" t="s">
        <v>39</v>
      </c>
      <c r="B11" s="10" t="s">
        <v>40</v>
      </c>
      <c r="C11" s="10">
        <v>26</v>
      </c>
      <c r="D11" s="10">
        <v>75.569999999999993</v>
      </c>
      <c r="E11" s="10">
        <v>0.03</v>
      </c>
      <c r="F11" s="10" t="s">
        <v>23</v>
      </c>
      <c r="G11" s="10">
        <v>28.24</v>
      </c>
      <c r="H11" s="10" t="s">
        <v>41</v>
      </c>
      <c r="I11" s="10" t="s">
        <v>42</v>
      </c>
      <c r="J11" s="11">
        <v>39936</v>
      </c>
    </row>
    <row r="12" spans="1:12" x14ac:dyDescent="0.25">
      <c r="A12" s="10" t="s">
        <v>43</v>
      </c>
      <c r="B12" s="10" t="s">
        <v>22</v>
      </c>
      <c r="C12" s="10">
        <v>28</v>
      </c>
      <c r="D12" s="10">
        <v>51.53</v>
      </c>
      <c r="E12" s="10">
        <v>0.03</v>
      </c>
      <c r="F12" s="10" t="s">
        <v>28</v>
      </c>
      <c r="G12" s="10">
        <v>0.35</v>
      </c>
      <c r="H12" s="10" t="s">
        <v>29</v>
      </c>
      <c r="I12" s="10" t="s">
        <v>25</v>
      </c>
      <c r="J12" s="11">
        <v>40307</v>
      </c>
    </row>
    <row r="13" spans="1:12" x14ac:dyDescent="0.25">
      <c r="A13" s="10" t="s">
        <v>26</v>
      </c>
      <c r="B13" s="10" t="s">
        <v>27</v>
      </c>
      <c r="C13" s="10">
        <v>29</v>
      </c>
      <c r="D13" s="10">
        <v>575.11</v>
      </c>
      <c r="E13" s="10">
        <v>0.02</v>
      </c>
      <c r="F13" s="10" t="s">
        <v>23</v>
      </c>
      <c r="G13" s="10">
        <v>71.75</v>
      </c>
      <c r="H13" s="10" t="s">
        <v>29</v>
      </c>
      <c r="I13" s="10" t="s">
        <v>25</v>
      </c>
      <c r="J13" s="11">
        <v>39938</v>
      </c>
    </row>
    <row r="14" spans="1:12" x14ac:dyDescent="0.25">
      <c r="A14" s="10" t="s">
        <v>36</v>
      </c>
      <c r="B14" s="10" t="s">
        <v>22</v>
      </c>
      <c r="C14" s="10">
        <v>30</v>
      </c>
      <c r="D14" s="10">
        <v>288.56</v>
      </c>
      <c r="E14" s="10">
        <v>0.03</v>
      </c>
      <c r="F14" s="10" t="s">
        <v>23</v>
      </c>
      <c r="G14" s="10">
        <v>60.72</v>
      </c>
      <c r="H14" s="10" t="s">
        <v>24</v>
      </c>
      <c r="I14" s="10" t="s">
        <v>25</v>
      </c>
      <c r="J14" s="11">
        <v>39562</v>
      </c>
    </row>
    <row r="15" spans="1:12" x14ac:dyDescent="0.25">
      <c r="A15" s="10" t="s">
        <v>44</v>
      </c>
      <c r="B15" s="10" t="s">
        <v>45</v>
      </c>
      <c r="C15" s="10">
        <v>32</v>
      </c>
      <c r="D15" s="10">
        <v>3812.73</v>
      </c>
      <c r="E15" s="10">
        <v>0.02</v>
      </c>
      <c r="F15" s="10" t="s">
        <v>23</v>
      </c>
      <c r="G15" s="10">
        <v>1470.3</v>
      </c>
      <c r="H15" s="10" t="s">
        <v>32</v>
      </c>
      <c r="I15" s="10" t="s">
        <v>25</v>
      </c>
      <c r="J15" s="11">
        <v>39934</v>
      </c>
    </row>
    <row r="16" spans="1:12" x14ac:dyDescent="0.25">
      <c r="A16" s="10" t="s">
        <v>46</v>
      </c>
      <c r="B16" s="10" t="s">
        <v>27</v>
      </c>
      <c r="C16" s="10">
        <v>37</v>
      </c>
      <c r="D16" s="10">
        <v>4158.1234999999997</v>
      </c>
      <c r="E16" s="10">
        <v>0.01</v>
      </c>
      <c r="F16" s="10" t="s">
        <v>23</v>
      </c>
      <c r="G16" s="10">
        <v>1228.8900000000001</v>
      </c>
      <c r="H16" s="10" t="s">
        <v>29</v>
      </c>
      <c r="I16" s="10" t="s">
        <v>47</v>
      </c>
      <c r="J16" s="11">
        <v>40663</v>
      </c>
    </row>
    <row r="17" spans="1:10" x14ac:dyDescent="0.25">
      <c r="A17" s="10" t="s">
        <v>48</v>
      </c>
      <c r="B17" s="10" t="s">
        <v>31</v>
      </c>
      <c r="C17" s="10">
        <v>41</v>
      </c>
      <c r="D17" s="10">
        <v>108.15</v>
      </c>
      <c r="E17" s="10">
        <v>0.09</v>
      </c>
      <c r="F17" s="10" t="s">
        <v>23</v>
      </c>
      <c r="G17" s="10">
        <v>7.57</v>
      </c>
      <c r="H17" s="10" t="s">
        <v>24</v>
      </c>
      <c r="I17" s="10" t="s">
        <v>42</v>
      </c>
      <c r="J17" s="11">
        <v>39937</v>
      </c>
    </row>
    <row r="18" spans="1:10" x14ac:dyDescent="0.25">
      <c r="A18" s="10" t="s">
        <v>43</v>
      </c>
      <c r="B18" s="10" t="s">
        <v>22</v>
      </c>
      <c r="C18" s="10">
        <v>42</v>
      </c>
      <c r="D18" s="10">
        <v>1186.06</v>
      </c>
      <c r="E18" s="10">
        <v>0.09</v>
      </c>
      <c r="F18" s="10" t="s">
        <v>23</v>
      </c>
      <c r="G18" s="10">
        <v>511.69</v>
      </c>
      <c r="H18" s="10" t="s">
        <v>29</v>
      </c>
      <c r="I18" s="10" t="s">
        <v>25</v>
      </c>
      <c r="J18" s="11">
        <v>40671</v>
      </c>
    </row>
    <row r="19" spans="1:10" x14ac:dyDescent="0.25">
      <c r="A19" s="10" t="s">
        <v>49</v>
      </c>
      <c r="B19" s="10" t="s">
        <v>45</v>
      </c>
      <c r="C19" s="10">
        <v>46</v>
      </c>
      <c r="D19" s="10">
        <v>2484.7455</v>
      </c>
      <c r="E19" s="10">
        <v>0.1</v>
      </c>
      <c r="F19" s="10" t="s">
        <v>23</v>
      </c>
      <c r="G19" s="10">
        <v>657.48</v>
      </c>
      <c r="H19" s="10" t="s">
        <v>24</v>
      </c>
      <c r="I19" s="10" t="s">
        <v>47</v>
      </c>
      <c r="J19" s="11">
        <v>39940</v>
      </c>
    </row>
    <row r="20" spans="1:10" x14ac:dyDescent="0.25">
      <c r="A20" s="10" t="s">
        <v>50</v>
      </c>
      <c r="B20" s="10" t="s">
        <v>31</v>
      </c>
      <c r="C20" s="10">
        <v>46</v>
      </c>
      <c r="D20" s="10">
        <v>7804.53</v>
      </c>
      <c r="E20" s="10">
        <v>0.05</v>
      </c>
      <c r="F20" s="10" t="s">
        <v>23</v>
      </c>
      <c r="G20" s="10">
        <v>2057.17</v>
      </c>
      <c r="H20" s="10" t="s">
        <v>51</v>
      </c>
      <c r="I20" s="10" t="s">
        <v>47</v>
      </c>
      <c r="J20" s="11">
        <v>40887</v>
      </c>
    </row>
    <row r="21" spans="1:10" ht="15.75" customHeight="1" x14ac:dyDescent="0.25">
      <c r="A21" s="10" t="s">
        <v>50</v>
      </c>
      <c r="B21" s="10" t="s">
        <v>31</v>
      </c>
      <c r="C21" s="10">
        <v>48</v>
      </c>
      <c r="D21" s="10">
        <v>90.05</v>
      </c>
      <c r="E21" s="10">
        <v>0.03</v>
      </c>
      <c r="F21" s="10" t="s">
        <v>23</v>
      </c>
      <c r="G21" s="10">
        <v>-107</v>
      </c>
      <c r="H21" s="10" t="s">
        <v>51</v>
      </c>
      <c r="I21" s="10" t="s">
        <v>47</v>
      </c>
      <c r="J21" s="11">
        <v>40828</v>
      </c>
    </row>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c r="B27" s="12" t="s">
        <v>19</v>
      </c>
    </row>
    <row r="28" spans="1:10" ht="15.75" customHeight="1" x14ac:dyDescent="0.25">
      <c r="A28" s="12" t="s">
        <v>33</v>
      </c>
      <c r="B28" s="13" t="str">
        <f>VLOOKUP(A5,Table_1[],9,FALSE)</f>
        <v>Small Business</v>
      </c>
    </row>
    <row r="29" spans="1:10" ht="15.75" customHeight="1" x14ac:dyDescent="0.25"/>
    <row r="30" spans="1:10" ht="15.75" customHeight="1" x14ac:dyDescent="0.25">
      <c r="A30" t="s">
        <v>70</v>
      </c>
      <c r="B30" s="19">
        <f>VLOOKUP(Lookup!A19,Table_1[],4,)</f>
        <v>2484.7455</v>
      </c>
    </row>
    <row r="31" spans="1:10" ht="15.75" customHeight="1" x14ac:dyDescent="0.25"/>
    <row r="32" spans="1:10" ht="15.75" customHeight="1" x14ac:dyDescent="0.25">
      <c r="A32" t="s">
        <v>71</v>
      </c>
      <c r="B32" s="19" t="str">
        <f>_xlfn.XLOOKUP(D16,Table_1[Sales],Table_1[Customer Name],"not found",0)</f>
        <v>Keith Dawkins</v>
      </c>
    </row>
    <row r="33" spans="1:2" ht="15.75" customHeight="1" x14ac:dyDescent="0.25"/>
    <row r="34" spans="1:2" ht="15.75" customHeight="1" x14ac:dyDescent="0.25">
      <c r="A34" t="s">
        <v>73</v>
      </c>
      <c r="B34" s="19" t="str">
        <f>_xlfn.XLOOKUP(Lookup!H11,H4:H21,A4:A21,"not found",0)</f>
        <v>Craig Yedwab</v>
      </c>
    </row>
    <row r="35" spans="1:2" ht="15.75" customHeight="1" x14ac:dyDescent="0.25"/>
    <row r="36" spans="1:2" ht="15.75" customHeight="1" x14ac:dyDescent="0.25"/>
    <row r="37" spans="1:2" ht="15.75" customHeight="1" x14ac:dyDescent="0.25"/>
    <row r="38" spans="1:2" ht="15.75" customHeight="1" x14ac:dyDescent="0.25"/>
    <row r="39" spans="1:2" ht="15.75" customHeight="1" x14ac:dyDescent="0.25"/>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Consolidate/>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I5" sqref="I5"/>
    </sheetView>
  </sheetViews>
  <sheetFormatPr defaultColWidth="14.42578125" defaultRowHeight="15" customHeight="1" x14ac:dyDescent="0.25"/>
  <cols>
    <col min="1" max="8" width="8.7109375" customWidth="1"/>
    <col min="9" max="9" width="19.140625" customWidth="1"/>
    <col min="10" max="26" width="8.7109375" customWidth="1"/>
  </cols>
  <sheetData>
    <row r="1" spans="1:9" x14ac:dyDescent="0.25">
      <c r="A1" s="14" t="s">
        <v>52</v>
      </c>
    </row>
    <row r="2" spans="1:9" x14ac:dyDescent="0.25">
      <c r="A2" s="12" t="s">
        <v>53</v>
      </c>
      <c r="I2" t="s">
        <v>35</v>
      </c>
    </row>
    <row r="3" spans="1:9" x14ac:dyDescent="0.25">
      <c r="A3" s="12" t="s">
        <v>54</v>
      </c>
      <c r="I3">
        <v>2484.7455</v>
      </c>
    </row>
    <row r="4" spans="1:9" x14ac:dyDescent="0.25">
      <c r="A4" s="12" t="s">
        <v>55</v>
      </c>
      <c r="I4" t="s">
        <v>46</v>
      </c>
    </row>
    <row r="5" spans="1:9" x14ac:dyDescent="0.25">
      <c r="A5" s="12" t="s">
        <v>56</v>
      </c>
      <c r="I5" t="s">
        <v>39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abSelected="1" workbookViewId="0">
      <pane ySplit="1" topLeftCell="A2" activePane="bottomLeft" state="frozen"/>
      <selection pane="bottomLeft" activeCell="I1" sqref="I1"/>
    </sheetView>
  </sheetViews>
  <sheetFormatPr defaultColWidth="14.42578125" defaultRowHeight="15" customHeight="1" x14ac:dyDescent="0.25"/>
  <cols>
    <col min="1" max="1" width="19.140625" customWidth="1"/>
    <col min="2" max="2" width="11.85546875" customWidth="1"/>
    <col min="3" max="3" width="13.140625" customWidth="1"/>
    <col min="4" max="4" width="9.5703125" customWidth="1"/>
    <col min="5" max="5" width="7.85546875" customWidth="1"/>
    <col min="6" max="6" width="11.85546875" customWidth="1"/>
    <col min="7" max="7" width="8.28515625" customWidth="1"/>
    <col min="8" max="8" width="7.42578125" customWidth="1"/>
    <col min="9" max="9" width="16.140625" customWidth="1"/>
    <col min="10" max="10" width="10.42578125" customWidth="1"/>
    <col min="11" max="26" width="8.7109375" customWidth="1"/>
  </cols>
  <sheetData>
    <row r="1" spans="1:10" x14ac:dyDescent="0.25">
      <c r="A1" s="9" t="s">
        <v>11</v>
      </c>
      <c r="B1" s="9" t="s">
        <v>12</v>
      </c>
      <c r="C1" s="9" t="s">
        <v>13</v>
      </c>
      <c r="D1" s="9" t="s">
        <v>14</v>
      </c>
      <c r="E1" s="9" t="s">
        <v>15</v>
      </c>
      <c r="F1" s="9" t="s">
        <v>16</v>
      </c>
      <c r="G1" s="9" t="s">
        <v>17</v>
      </c>
      <c r="H1" s="9" t="s">
        <v>18</v>
      </c>
      <c r="I1" s="9" t="s">
        <v>19</v>
      </c>
      <c r="J1" s="9" t="s">
        <v>20</v>
      </c>
    </row>
    <row r="2" spans="1:10" x14ac:dyDescent="0.25">
      <c r="A2" s="10" t="s">
        <v>21</v>
      </c>
      <c r="B2" s="10" t="s">
        <v>22</v>
      </c>
      <c r="C2" s="10">
        <v>2</v>
      </c>
      <c r="D2" s="10">
        <v>6.93</v>
      </c>
      <c r="E2" s="10">
        <v>0.01</v>
      </c>
      <c r="F2" s="10" t="s">
        <v>23</v>
      </c>
      <c r="G2" s="10">
        <v>-4.6399999999999997</v>
      </c>
      <c r="H2" s="10" t="s">
        <v>24</v>
      </c>
      <c r="I2" s="10" t="s">
        <v>25</v>
      </c>
      <c r="J2" s="11">
        <v>39935</v>
      </c>
    </row>
    <row r="3" spans="1:10" x14ac:dyDescent="0.25">
      <c r="A3" s="10" t="s">
        <v>26</v>
      </c>
      <c r="B3" s="10" t="s">
        <v>27</v>
      </c>
      <c r="C3" s="10">
        <v>3</v>
      </c>
      <c r="D3" s="10">
        <v>461.89</v>
      </c>
      <c r="E3" s="10">
        <v>0.05</v>
      </c>
      <c r="F3" s="10" t="s">
        <v>28</v>
      </c>
      <c r="G3" s="10">
        <v>-309.82</v>
      </c>
      <c r="H3" s="10" t="s">
        <v>29</v>
      </c>
      <c r="I3" s="10" t="s">
        <v>25</v>
      </c>
      <c r="J3" s="11">
        <v>39939</v>
      </c>
    </row>
    <row r="4" spans="1:10" x14ac:dyDescent="0.25">
      <c r="A4" s="10" t="s">
        <v>30</v>
      </c>
      <c r="B4" s="10" t="s">
        <v>31</v>
      </c>
      <c r="C4" s="10">
        <v>4</v>
      </c>
      <c r="D4" s="10">
        <v>32.72</v>
      </c>
      <c r="E4" s="10">
        <v>0.09</v>
      </c>
      <c r="F4" s="10" t="s">
        <v>23</v>
      </c>
      <c r="G4" s="10">
        <v>-22.59</v>
      </c>
      <c r="H4" s="10" t="s">
        <v>32</v>
      </c>
      <c r="I4" s="10" t="s">
        <v>25</v>
      </c>
      <c r="J4" s="11">
        <v>41068</v>
      </c>
    </row>
    <row r="5" spans="1:10" x14ac:dyDescent="0.25">
      <c r="A5" s="10" t="s">
        <v>33</v>
      </c>
      <c r="B5" s="10" t="s">
        <v>31</v>
      </c>
      <c r="C5" s="10">
        <v>6</v>
      </c>
      <c r="D5" s="10">
        <v>261.54000000000002</v>
      </c>
      <c r="E5" s="10">
        <v>0.04</v>
      </c>
      <c r="F5" s="10" t="s">
        <v>23</v>
      </c>
      <c r="G5" s="10">
        <v>-213.25</v>
      </c>
      <c r="H5" s="10" t="s">
        <v>34</v>
      </c>
      <c r="I5" s="10" t="s">
        <v>35</v>
      </c>
      <c r="J5" s="11">
        <v>39928</v>
      </c>
    </row>
    <row r="6" spans="1:10" x14ac:dyDescent="0.25">
      <c r="A6" s="10" t="s">
        <v>36</v>
      </c>
      <c r="B6" s="10" t="s">
        <v>22</v>
      </c>
      <c r="C6" s="10">
        <v>14</v>
      </c>
      <c r="D6" s="10">
        <v>1892.848</v>
      </c>
      <c r="E6" s="10">
        <v>0.01</v>
      </c>
      <c r="F6" s="10" t="s">
        <v>23</v>
      </c>
      <c r="G6" s="10">
        <v>48.99</v>
      </c>
      <c r="H6" s="10" t="s">
        <v>24</v>
      </c>
      <c r="I6" s="10" t="s">
        <v>25</v>
      </c>
      <c r="J6" s="11">
        <v>39926</v>
      </c>
    </row>
    <row r="7" spans="1:10" x14ac:dyDescent="0.25">
      <c r="A7" s="10" t="s">
        <v>37</v>
      </c>
      <c r="B7" s="10" t="s">
        <v>27</v>
      </c>
      <c r="C7" s="10">
        <v>15</v>
      </c>
      <c r="D7" s="10">
        <v>140.56</v>
      </c>
      <c r="E7" s="10">
        <v>0.04</v>
      </c>
      <c r="F7" s="10" t="s">
        <v>23</v>
      </c>
      <c r="G7" s="10">
        <v>-128.38</v>
      </c>
      <c r="H7" s="10" t="s">
        <v>29</v>
      </c>
      <c r="I7" s="10" t="s">
        <v>25</v>
      </c>
      <c r="J7" s="11">
        <v>39932</v>
      </c>
    </row>
    <row r="8" spans="1:10" x14ac:dyDescent="0.25">
      <c r="A8" s="10" t="s">
        <v>37</v>
      </c>
      <c r="B8" s="10" t="s">
        <v>27</v>
      </c>
      <c r="C8" s="10">
        <v>23</v>
      </c>
      <c r="D8" s="10">
        <v>160.23349999999999</v>
      </c>
      <c r="E8" s="10">
        <v>0.04</v>
      </c>
      <c r="F8" s="10" t="s">
        <v>23</v>
      </c>
      <c r="G8" s="10">
        <v>-85.13</v>
      </c>
      <c r="H8" s="10" t="s">
        <v>24</v>
      </c>
      <c r="I8" s="10" t="s">
        <v>25</v>
      </c>
      <c r="J8" s="11">
        <v>39931</v>
      </c>
    </row>
    <row r="9" spans="1:10" x14ac:dyDescent="0.25">
      <c r="A9" s="10" t="s">
        <v>37</v>
      </c>
      <c r="B9" s="10" t="s">
        <v>27</v>
      </c>
      <c r="C9" s="10">
        <v>24</v>
      </c>
      <c r="D9" s="10">
        <v>1761.4</v>
      </c>
      <c r="E9" s="10">
        <v>0.09</v>
      </c>
      <c r="F9" s="10" t="s">
        <v>38</v>
      </c>
      <c r="G9" s="10">
        <v>-1748.56</v>
      </c>
      <c r="H9" s="10" t="s">
        <v>24</v>
      </c>
      <c r="I9" s="10" t="s">
        <v>25</v>
      </c>
      <c r="J9" s="11">
        <v>39930</v>
      </c>
    </row>
    <row r="10" spans="1:10" x14ac:dyDescent="0.25">
      <c r="A10" s="10" t="s">
        <v>37</v>
      </c>
      <c r="B10" s="10" t="s">
        <v>27</v>
      </c>
      <c r="C10" s="10">
        <v>26</v>
      </c>
      <c r="D10" s="10">
        <v>2808.08</v>
      </c>
      <c r="E10" s="10">
        <v>7.0000000000000007E-2</v>
      </c>
      <c r="F10" s="10" t="s">
        <v>23</v>
      </c>
      <c r="G10" s="10">
        <v>1054.82</v>
      </c>
      <c r="H10" s="10" t="s">
        <v>24</v>
      </c>
      <c r="I10" s="10" t="s">
        <v>25</v>
      </c>
      <c r="J10" s="11">
        <v>41025</v>
      </c>
    </row>
    <row r="11" spans="1:10" x14ac:dyDescent="0.25">
      <c r="A11" s="10" t="s">
        <v>39</v>
      </c>
      <c r="B11" s="10" t="s">
        <v>40</v>
      </c>
      <c r="C11" s="10">
        <v>26</v>
      </c>
      <c r="D11" s="10">
        <v>75.569999999999993</v>
      </c>
      <c r="E11" s="10">
        <v>0.03</v>
      </c>
      <c r="F11" s="10" t="s">
        <v>23</v>
      </c>
      <c r="G11" s="10">
        <v>28.24</v>
      </c>
      <c r="H11" s="10" t="s">
        <v>41</v>
      </c>
      <c r="I11" s="10" t="s">
        <v>42</v>
      </c>
      <c r="J11" s="11">
        <v>39936</v>
      </c>
    </row>
    <row r="12" spans="1:10" x14ac:dyDescent="0.25">
      <c r="A12" s="10" t="s">
        <v>43</v>
      </c>
      <c r="B12" s="10" t="s">
        <v>22</v>
      </c>
      <c r="C12" s="10">
        <v>28</v>
      </c>
      <c r="D12" s="10">
        <v>51.53</v>
      </c>
      <c r="E12" s="10">
        <v>0.03</v>
      </c>
      <c r="F12" s="10" t="s">
        <v>28</v>
      </c>
      <c r="G12" s="10">
        <v>0.35</v>
      </c>
      <c r="H12" s="10" t="s">
        <v>29</v>
      </c>
      <c r="I12" s="10" t="s">
        <v>25</v>
      </c>
      <c r="J12" s="11">
        <v>40307</v>
      </c>
    </row>
    <row r="13" spans="1:10" x14ac:dyDescent="0.25">
      <c r="A13" s="10" t="s">
        <v>26</v>
      </c>
      <c r="B13" s="10" t="s">
        <v>27</v>
      </c>
      <c r="C13" s="10">
        <v>29</v>
      </c>
      <c r="D13" s="10">
        <v>575.11</v>
      </c>
      <c r="E13" s="10">
        <v>0.02</v>
      </c>
      <c r="F13" s="10" t="s">
        <v>23</v>
      </c>
      <c r="G13" s="10">
        <v>71.75</v>
      </c>
      <c r="H13" s="10" t="s">
        <v>29</v>
      </c>
      <c r="I13" s="10" t="s">
        <v>25</v>
      </c>
      <c r="J13" s="11">
        <v>39938</v>
      </c>
    </row>
    <row r="14" spans="1:10" x14ac:dyDescent="0.25">
      <c r="A14" s="10" t="s">
        <v>36</v>
      </c>
      <c r="B14" s="10" t="s">
        <v>22</v>
      </c>
      <c r="C14" s="10">
        <v>30</v>
      </c>
      <c r="D14" s="10">
        <v>288.56</v>
      </c>
      <c r="E14" s="10">
        <v>0.03</v>
      </c>
      <c r="F14" s="10" t="s">
        <v>23</v>
      </c>
      <c r="G14" s="10">
        <v>60.72</v>
      </c>
      <c r="H14" s="10" t="s">
        <v>24</v>
      </c>
      <c r="I14" s="10" t="s">
        <v>25</v>
      </c>
      <c r="J14" s="11">
        <v>39562</v>
      </c>
    </row>
    <row r="15" spans="1:10" x14ac:dyDescent="0.25">
      <c r="A15" s="10" t="s">
        <v>44</v>
      </c>
      <c r="B15" s="10" t="s">
        <v>45</v>
      </c>
      <c r="C15" s="10">
        <v>32</v>
      </c>
      <c r="D15" s="10">
        <v>3812.73</v>
      </c>
      <c r="E15" s="10">
        <v>0.02</v>
      </c>
      <c r="F15" s="10" t="s">
        <v>23</v>
      </c>
      <c r="G15" s="10">
        <v>1470.3</v>
      </c>
      <c r="H15" s="10" t="s">
        <v>32</v>
      </c>
      <c r="I15" s="10" t="s">
        <v>25</v>
      </c>
      <c r="J15" s="11">
        <v>39934</v>
      </c>
    </row>
    <row r="16" spans="1:10" x14ac:dyDescent="0.25">
      <c r="A16" s="10" t="s">
        <v>46</v>
      </c>
      <c r="B16" s="10" t="s">
        <v>27</v>
      </c>
      <c r="C16" s="10">
        <v>37</v>
      </c>
      <c r="D16" s="10">
        <v>4158.1234999999997</v>
      </c>
      <c r="E16" s="10">
        <v>0.01</v>
      </c>
      <c r="F16" s="10" t="s">
        <v>23</v>
      </c>
      <c r="G16" s="10">
        <v>1228.8900000000001</v>
      </c>
      <c r="H16" s="10" t="s">
        <v>29</v>
      </c>
      <c r="I16" s="10" t="s">
        <v>47</v>
      </c>
      <c r="J16" s="11">
        <v>40663</v>
      </c>
    </row>
    <row r="17" spans="1:10" x14ac:dyDescent="0.25">
      <c r="A17" s="10" t="s">
        <v>48</v>
      </c>
      <c r="B17" s="10" t="s">
        <v>31</v>
      </c>
      <c r="C17" s="10">
        <v>41</v>
      </c>
      <c r="D17" s="10">
        <v>108.15</v>
      </c>
      <c r="E17" s="10">
        <v>0.09</v>
      </c>
      <c r="F17" s="10" t="s">
        <v>23</v>
      </c>
      <c r="G17" s="10">
        <v>7.57</v>
      </c>
      <c r="H17" s="10" t="s">
        <v>24</v>
      </c>
      <c r="I17" s="10" t="s">
        <v>42</v>
      </c>
      <c r="J17" s="11">
        <v>39937</v>
      </c>
    </row>
    <row r="18" spans="1:10" x14ac:dyDescent="0.25">
      <c r="A18" s="10" t="s">
        <v>43</v>
      </c>
      <c r="B18" s="10" t="s">
        <v>22</v>
      </c>
      <c r="C18" s="10">
        <v>42</v>
      </c>
      <c r="D18" s="10">
        <v>1186.06</v>
      </c>
      <c r="E18" s="10">
        <v>0.09</v>
      </c>
      <c r="F18" s="10" t="s">
        <v>23</v>
      </c>
      <c r="G18" s="10">
        <v>511.69</v>
      </c>
      <c r="H18" s="10" t="s">
        <v>29</v>
      </c>
      <c r="I18" s="10" t="s">
        <v>25</v>
      </c>
      <c r="J18" s="11">
        <v>40671</v>
      </c>
    </row>
    <row r="19" spans="1:10" x14ac:dyDescent="0.25">
      <c r="A19" s="10" t="s">
        <v>49</v>
      </c>
      <c r="B19" s="10" t="s">
        <v>45</v>
      </c>
      <c r="C19" s="10">
        <v>46</v>
      </c>
      <c r="D19" s="10">
        <v>2484.7455</v>
      </c>
      <c r="E19" s="10">
        <v>0.1</v>
      </c>
      <c r="F19" s="10" t="s">
        <v>23</v>
      </c>
      <c r="G19" s="10">
        <v>657.48</v>
      </c>
      <c r="H19" s="10" t="s">
        <v>24</v>
      </c>
      <c r="I19" s="10" t="s">
        <v>47</v>
      </c>
      <c r="J19" s="11">
        <v>39940</v>
      </c>
    </row>
    <row r="20" spans="1:10" x14ac:dyDescent="0.25">
      <c r="A20" s="10" t="s">
        <v>50</v>
      </c>
      <c r="B20" s="10" t="s">
        <v>31</v>
      </c>
      <c r="C20" s="10">
        <v>46</v>
      </c>
      <c r="D20" s="10">
        <v>7804.53</v>
      </c>
      <c r="E20" s="10">
        <v>0.05</v>
      </c>
      <c r="F20" s="10" t="s">
        <v>23</v>
      </c>
      <c r="G20" s="10">
        <v>2057.17</v>
      </c>
      <c r="H20" s="10" t="s">
        <v>51</v>
      </c>
      <c r="I20" s="10" t="s">
        <v>47</v>
      </c>
      <c r="J20" s="11">
        <v>40887</v>
      </c>
    </row>
    <row r="21" spans="1:10" ht="15.75" customHeight="1" x14ac:dyDescent="0.25">
      <c r="A21" s="10" t="s">
        <v>50</v>
      </c>
      <c r="B21" s="10" t="s">
        <v>31</v>
      </c>
      <c r="C21" s="10">
        <v>48</v>
      </c>
      <c r="D21" s="10">
        <v>90.05</v>
      </c>
      <c r="E21" s="10">
        <v>0.03</v>
      </c>
      <c r="F21" s="10" t="s">
        <v>23</v>
      </c>
      <c r="G21" s="10">
        <v>-107</v>
      </c>
      <c r="H21" s="10" t="s">
        <v>51</v>
      </c>
      <c r="I21" s="10" t="s">
        <v>47</v>
      </c>
      <c r="J21" s="11">
        <v>40828</v>
      </c>
    </row>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4.42578125" defaultRowHeight="15" customHeight="1" x14ac:dyDescent="0.25"/>
  <cols>
    <col min="1" max="1" width="59.28515625" customWidth="1"/>
    <col min="2" max="26" width="8.7109375" customWidth="1"/>
  </cols>
  <sheetData>
    <row r="1" spans="1:1" x14ac:dyDescent="0.25">
      <c r="A1" s="15" t="s">
        <v>52</v>
      </c>
    </row>
    <row r="2" spans="1:1" x14ac:dyDescent="0.25">
      <c r="A2" s="12" t="s">
        <v>57</v>
      </c>
    </row>
    <row r="3" spans="1:1" x14ac:dyDescent="0.25">
      <c r="A3" s="12" t="s">
        <v>58</v>
      </c>
    </row>
    <row r="4" spans="1:1" x14ac:dyDescent="0.25">
      <c r="A4" s="12" t="s">
        <v>59</v>
      </c>
    </row>
    <row r="5" spans="1:1" x14ac:dyDescent="0.25">
      <c r="A5" s="12" t="s">
        <v>60</v>
      </c>
    </row>
    <row r="6" spans="1:1" x14ac:dyDescent="0.25">
      <c r="A6" s="12" t="s">
        <v>61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92D2A-103E-460E-AD92-E7F4362A1C26}">
  <dimension ref="A1:J7"/>
  <sheetViews>
    <sheetView workbookViewId="0">
      <selection activeCell="E6" sqref="E6:F7"/>
    </sheetView>
  </sheetViews>
  <sheetFormatPr defaultRowHeight="15" x14ac:dyDescent="0.25"/>
  <cols>
    <col min="1" max="1" width="13.140625" bestFit="1" customWidth="1"/>
    <col min="2" max="2" width="13.7109375" bestFit="1" customWidth="1"/>
    <col min="5" max="5" width="13.140625" bestFit="1" customWidth="1"/>
    <col min="6" max="6" width="13.7109375" bestFit="1" customWidth="1"/>
    <col min="7" max="7" width="9" customWidth="1"/>
    <col min="8" max="8" width="9.140625" hidden="1" customWidth="1"/>
    <col min="9" max="9" width="13.140625" bestFit="1" customWidth="1"/>
    <col min="10" max="10" width="13.7109375" bestFit="1" customWidth="1"/>
  </cols>
  <sheetData>
    <row r="1" spans="1:10" x14ac:dyDescent="0.25">
      <c r="E1" s="26" t="s">
        <v>72</v>
      </c>
      <c r="F1" s="26"/>
    </row>
    <row r="3" spans="1:10" x14ac:dyDescent="0.25">
      <c r="A3" s="21" t="s">
        <v>63</v>
      </c>
      <c r="B3" s="23" t="s">
        <v>62</v>
      </c>
      <c r="E3" s="21" t="s">
        <v>63</v>
      </c>
      <c r="F3" s="24" t="s">
        <v>64</v>
      </c>
      <c r="I3" s="21" t="s">
        <v>63</v>
      </c>
      <c r="J3" s="24" t="s">
        <v>64</v>
      </c>
    </row>
    <row r="4" spans="1:10" x14ac:dyDescent="0.25">
      <c r="A4" s="22" t="s">
        <v>37</v>
      </c>
      <c r="B4" s="20">
        <v>88</v>
      </c>
      <c r="E4" s="22" t="s">
        <v>27</v>
      </c>
      <c r="F4" s="25">
        <v>10065.397000000001</v>
      </c>
      <c r="I4" s="22" t="s">
        <v>66</v>
      </c>
      <c r="J4" s="25">
        <v>11741.707</v>
      </c>
    </row>
    <row r="6" spans="1:10" x14ac:dyDescent="0.25">
      <c r="A6" s="21" t="s">
        <v>63</v>
      </c>
      <c r="B6" s="24" t="s">
        <v>64</v>
      </c>
      <c r="E6" s="21" t="s">
        <v>63</v>
      </c>
      <c r="F6" s="24" t="s">
        <v>64</v>
      </c>
    </row>
    <row r="7" spans="1:10" x14ac:dyDescent="0.25">
      <c r="A7" s="22" t="s">
        <v>41</v>
      </c>
      <c r="B7" s="25">
        <v>75.569999999999993</v>
      </c>
      <c r="E7" s="22" t="s">
        <v>47</v>
      </c>
      <c r="F7" s="25">
        <v>14537.448999999999</v>
      </c>
    </row>
  </sheetData>
  <mergeCells count="1">
    <mergeCell ref="E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defaultColWidth="14.42578125" defaultRowHeight="15" customHeight="1" x14ac:dyDescent="0.25"/>
  <cols>
    <col min="1" max="1" width="20" customWidth="1"/>
    <col min="2" max="2" width="12.42578125" customWidth="1"/>
    <col min="3" max="3" width="20" customWidth="1"/>
    <col min="4" max="26" width="8.7109375" customWidth="1"/>
  </cols>
  <sheetData>
    <row r="1" spans="1:2" x14ac:dyDescent="0.25">
      <c r="A1" s="16" t="s">
        <v>11</v>
      </c>
      <c r="B1" s="12" t="s">
        <v>37</v>
      </c>
    </row>
    <row r="3" spans="1:2" x14ac:dyDescent="0.25">
      <c r="A3" s="12" t="s">
        <v>62</v>
      </c>
    </row>
    <row r="4" spans="1:2" x14ac:dyDescent="0.25">
      <c r="A4" s="12">
        <v>88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000"/>
  <sheetViews>
    <sheetView workbookViewId="0"/>
  </sheetViews>
  <sheetFormatPr defaultColWidth="14.42578125" defaultRowHeight="15" customHeight="1" x14ac:dyDescent="0.25"/>
  <cols>
    <col min="1" max="1" width="12.42578125" customWidth="1"/>
    <col min="2" max="2" width="11.28515625" customWidth="1"/>
    <col min="3" max="26" width="8.7109375" customWidth="1"/>
  </cols>
  <sheetData>
    <row r="3" spans="1:2" x14ac:dyDescent="0.25">
      <c r="A3" s="16" t="s">
        <v>63</v>
      </c>
      <c r="B3" s="12" t="s">
        <v>64</v>
      </c>
    </row>
    <row r="4" spans="1:2" x14ac:dyDescent="0.25">
      <c r="A4" s="17" t="s">
        <v>40</v>
      </c>
      <c r="B4" s="12">
        <v>75.569999999999993</v>
      </c>
    </row>
    <row r="5" spans="1:2" x14ac:dyDescent="0.25">
      <c r="A5" s="17" t="s">
        <v>22</v>
      </c>
      <c r="B5" s="12">
        <v>3425.9279999999999</v>
      </c>
    </row>
    <row r="6" spans="1:2" x14ac:dyDescent="0.25">
      <c r="A6" s="17" t="s">
        <v>45</v>
      </c>
      <c r="B6" s="12">
        <v>6297.4755000000005</v>
      </c>
    </row>
    <row r="7" spans="1:2" x14ac:dyDescent="0.25">
      <c r="A7" s="17" t="s">
        <v>31</v>
      </c>
      <c r="B7" s="12">
        <v>8296.99</v>
      </c>
    </row>
    <row r="8" spans="1:2" x14ac:dyDescent="0.25">
      <c r="A8" s="17" t="s">
        <v>27</v>
      </c>
      <c r="B8" s="12">
        <v>10065.397000000001</v>
      </c>
    </row>
    <row r="9" spans="1:2" x14ac:dyDescent="0.25">
      <c r="A9" s="17" t="s">
        <v>65</v>
      </c>
      <c r="B9" s="12">
        <v>28161.360500000003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000"/>
  <sheetViews>
    <sheetView workbookViewId="0"/>
  </sheetViews>
  <sheetFormatPr defaultColWidth="14.42578125" defaultRowHeight="15" customHeight="1" x14ac:dyDescent="0.25"/>
  <cols>
    <col min="1" max="1" width="12.42578125" customWidth="1"/>
    <col min="2" max="2" width="11.28515625" customWidth="1"/>
    <col min="3" max="26" width="8.7109375" customWidth="1"/>
  </cols>
  <sheetData>
    <row r="3" spans="1:2" x14ac:dyDescent="0.25">
      <c r="A3" s="16" t="s">
        <v>63</v>
      </c>
      <c r="B3" s="12" t="s">
        <v>64</v>
      </c>
    </row>
    <row r="4" spans="1:2" x14ac:dyDescent="0.25">
      <c r="A4" s="17" t="s">
        <v>66</v>
      </c>
      <c r="B4" s="12">
        <v>11741.707</v>
      </c>
    </row>
    <row r="5" spans="1:2" x14ac:dyDescent="0.25">
      <c r="A5" s="17" t="s">
        <v>65</v>
      </c>
      <c r="B5" s="12">
        <v>11741.707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C1000"/>
  <sheetViews>
    <sheetView workbookViewId="0"/>
  </sheetViews>
  <sheetFormatPr defaultColWidth="14.42578125" defaultRowHeight="15" customHeight="1" x14ac:dyDescent="0.25"/>
  <cols>
    <col min="1" max="1" width="13.140625" customWidth="1"/>
    <col min="2" max="2" width="16.28515625" customWidth="1"/>
    <col min="3" max="3" width="11.28515625" customWidth="1"/>
    <col min="4" max="4" width="8" customWidth="1"/>
    <col min="5" max="5" width="11.28515625" customWidth="1"/>
    <col min="6" max="6" width="5" customWidth="1"/>
    <col min="7" max="26" width="8.7109375" customWidth="1"/>
  </cols>
  <sheetData>
    <row r="3" spans="1:3" x14ac:dyDescent="0.25">
      <c r="A3" s="16" t="s">
        <v>67</v>
      </c>
      <c r="B3" s="16" t="s">
        <v>68</v>
      </c>
    </row>
    <row r="4" spans="1:3" x14ac:dyDescent="0.25">
      <c r="A4" s="16" t="s">
        <v>63</v>
      </c>
      <c r="B4" s="12" t="s">
        <v>69</v>
      </c>
      <c r="C4" s="12" t="s">
        <v>65</v>
      </c>
    </row>
    <row r="5" spans="1:3" x14ac:dyDescent="0.25">
      <c r="A5" s="17" t="s">
        <v>24</v>
      </c>
      <c r="B5" s="12">
        <v>1054.82</v>
      </c>
      <c r="C5" s="12">
        <v>1054.82</v>
      </c>
    </row>
    <row r="6" spans="1:3" x14ac:dyDescent="0.25">
      <c r="A6" s="17" t="s">
        <v>32</v>
      </c>
      <c r="B6" s="12">
        <v>-22.59</v>
      </c>
      <c r="C6" s="12">
        <v>-22.59</v>
      </c>
    </row>
    <row r="7" spans="1:3" x14ac:dyDescent="0.25">
      <c r="A7" s="17" t="s">
        <v>65</v>
      </c>
      <c r="B7" s="12">
        <v>1032.23</v>
      </c>
      <c r="C7" s="12">
        <v>1032.23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1000"/>
  <sheetViews>
    <sheetView workbookViewId="0"/>
  </sheetViews>
  <sheetFormatPr defaultColWidth="14.42578125" defaultRowHeight="15" customHeight="1" x14ac:dyDescent="0.25"/>
  <cols>
    <col min="1" max="1" width="13" customWidth="1"/>
    <col min="2" max="2" width="11.28515625" customWidth="1"/>
    <col min="3" max="26" width="8.7109375" customWidth="1"/>
  </cols>
  <sheetData>
    <row r="3" spans="1:2" x14ac:dyDescent="0.25">
      <c r="A3" s="16" t="s">
        <v>63</v>
      </c>
      <c r="B3" s="12" t="s">
        <v>64</v>
      </c>
    </row>
    <row r="4" spans="1:2" x14ac:dyDescent="0.25">
      <c r="A4" s="17" t="s">
        <v>42</v>
      </c>
      <c r="B4" s="12">
        <v>183.72</v>
      </c>
    </row>
    <row r="5" spans="1:2" x14ac:dyDescent="0.25">
      <c r="A5" s="17" t="s">
        <v>35</v>
      </c>
      <c r="B5" s="12">
        <v>261.54000000000002</v>
      </c>
    </row>
    <row r="6" spans="1:2" x14ac:dyDescent="0.25">
      <c r="A6" s="17" t="s">
        <v>25</v>
      </c>
      <c r="B6" s="12">
        <v>13178.6515</v>
      </c>
    </row>
    <row r="7" spans="1:2" x14ac:dyDescent="0.25">
      <c r="A7" s="17" t="s">
        <v>47</v>
      </c>
      <c r="B7" s="12">
        <v>14537.448999999999</v>
      </c>
    </row>
    <row r="8" spans="1:2" x14ac:dyDescent="0.25">
      <c r="A8" s="17" t="s">
        <v>65</v>
      </c>
      <c r="B8" s="12">
        <v>28161.360500000003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vt:lpstr>
      <vt:lpstr>Lookup</vt:lpstr>
      <vt:lpstr>Lookup Assignment</vt:lpstr>
      <vt:lpstr>Pivot Table</vt:lpstr>
      <vt:lpstr>Pivot Assignment</vt:lpstr>
      <vt:lpstr>Sheet1</vt:lpstr>
      <vt:lpstr>Qn1</vt:lpstr>
      <vt:lpstr>Qn2</vt:lpstr>
      <vt:lpstr>Qn3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Moshood  Olatunde</cp:lastModifiedBy>
  <dcterms:modified xsi:type="dcterms:W3CDTF">2026-05-02T12:21:13Z</dcterms:modified>
</cp:coreProperties>
</file>